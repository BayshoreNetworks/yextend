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995" yWindow="60" windowWidth="20190" windowHeight="11055"/>
  </bookViews>
  <sheets>
    <sheet name="1" sheetId="1" r:id="rId1"/>
  </sheets>
  <definedNames>
    <definedName name="g">'1'!$H$7</definedName>
    <definedName name="Grid">'1'!$AB$30</definedName>
    <definedName name="OMax">'1'!$H$6*PI()/180</definedName>
    <definedName name="p10Len">'1'!$AB$22</definedName>
    <definedName name="p10x">p10Len*SIN(OMax*SIN(SQRT(g/p10Len)*t))*{0;1}</definedName>
    <definedName name="p10y">-p10Len*COS(OMax*SIN(SQRT(g/p10Len)*t))*{0;1}</definedName>
    <definedName name="p10z">1*Spacing*{1;1}</definedName>
    <definedName name="p11Len">'1'!$AB$23</definedName>
    <definedName name="p11x">p11Len*SIN(OMax*SIN(SQRT(g/p11Len)*t))*{0;1}</definedName>
    <definedName name="p11y">-p11Len*COS(OMax*SIN(SQRT(g/p11Len)*t))*{0;1}</definedName>
    <definedName name="p11z">2*Spacing*{1;1}</definedName>
    <definedName name="p12Len">'1'!$AB$24</definedName>
    <definedName name="p12x">p12Len*SIN(OMax*SIN(SQRT(g/p12Len)*t))*{0;1}</definedName>
    <definedName name="p12y">-p12Len*COS(OMax*SIN(SQRT(g/p12Len)*t))*{0;1}</definedName>
    <definedName name="p12z">3*Spacing*{1;1}</definedName>
    <definedName name="p13Len">'1'!$AB$25</definedName>
    <definedName name="p13x">p13Len*SIN(OMax*SIN(SQRT(g/p13Len)*t))*{0;1}</definedName>
    <definedName name="p13y">-p13Len*COS(OMax*SIN(SQRT(g/p13Len)*t))*{0;1}</definedName>
    <definedName name="p13z">4*Spacing*{1;1}</definedName>
    <definedName name="p14Len">'1'!$AB$26</definedName>
    <definedName name="p14x">p14Len*SIN(OMax*SIN(SQRT(g/p14Len)*t))*{0;1}</definedName>
    <definedName name="p14y">-p14Len*COS(OMax*SIN(SQRT(g/p14Len)*t))*{0;1}</definedName>
    <definedName name="p14z">5*Spacing*{1;1}</definedName>
    <definedName name="p15Len">'1'!$AB$27</definedName>
    <definedName name="p15x">p15Len*SIN(OMax*SIN(SQRT(g/p15Len)*t))*{0;1}</definedName>
    <definedName name="p15y">-p15Len*COS(OMax*SIN(SQRT(g/p15Len)*t))*{0;1}</definedName>
    <definedName name="p15z">6*Spacing*{1;1}</definedName>
    <definedName name="p16Len">'1'!$AB$28</definedName>
    <definedName name="p16x">p16Len*SIN(OMax*SIN(SQRT(g/p16Len)*t))*{0;1}</definedName>
    <definedName name="p16y">-p16Len*COS(OMax*SIN(SQRT(g/p16Len)*t))*{0;1}</definedName>
    <definedName name="p16z">7*Spacing*{1;1}</definedName>
    <definedName name="p1Len">'1'!$AB$13</definedName>
    <definedName name="p1x">p1Len*SIN(OMax*SIN(SQRT(g/p1Len)*t))*{0;1}</definedName>
    <definedName name="p1y">-p1Len*COS(OMax*SIN(SQRT(g/p1Len)*t))*{0;1}</definedName>
    <definedName name="p1z">-8*Spacing*{1;1}</definedName>
    <definedName name="p2Len">'1'!$AB$14</definedName>
    <definedName name="p2x">p2Len*SIN(OMax*SIN(SQRT(g/p2Len)*t))*{0;1}</definedName>
    <definedName name="p2y">-p2Len*COS(OMax*SIN(SQRT(g/p2Len)*t))*{0;1}</definedName>
    <definedName name="p2z">-7*Spacing*{1;1}</definedName>
    <definedName name="p3Len">'1'!$AB$15</definedName>
    <definedName name="p3x">p3Len*SIN(OMax*SIN(SQRT(g/p3Len)*t))*{0;1}</definedName>
    <definedName name="p3y">-p3Len*COS(OMax*SIN(SQRT(g/p3Len)*t))*{0;1}</definedName>
    <definedName name="p3z">-6*Spacing*{1;1}</definedName>
    <definedName name="p4Len">'1'!$AB$16</definedName>
    <definedName name="p4x">p4Len*SIN(OMax*SIN(SQRT(g/p4Len)*t))*{0;1}</definedName>
    <definedName name="p4y">-p4Len*COS(OMax*SIN(SQRT(g/p4Len)*t))*{0;1}</definedName>
    <definedName name="p4z">-5*Spacing*{1;1}</definedName>
    <definedName name="p5Len">'1'!$AB$17</definedName>
    <definedName name="p5x">p5Len*SIN(OMax*SIN(SQRT(g/p5Len)*t))*{0;1}</definedName>
    <definedName name="p5y">-p5Len*COS(OMax*SIN(SQRT(g/p5Len)*t))*{0;1}</definedName>
    <definedName name="p5z">-4*Spacing*{1;1}</definedName>
    <definedName name="p6Len">'1'!$AB$18</definedName>
    <definedName name="p6x">p6Len*SIN(OMax*SIN(SQRT(g/p6Len)*t))*{0;1}</definedName>
    <definedName name="p6y">-p6Len*COS(OMax*SIN(SQRT(g/p6Len)*t))*{0;1}</definedName>
    <definedName name="p6z">-3*Spacing*{1;1}</definedName>
    <definedName name="p7Len">'1'!$AB$19</definedName>
    <definedName name="p7x">p7Len*SIN(OMax*SIN(SQRT(g/p7Len)*t))*{0;1}</definedName>
    <definedName name="p7y">-p7Len*COS(OMax*SIN(SQRT(g/p7Len)*t))*{0;1}</definedName>
    <definedName name="p7z">-2*Spacing*{1;1}</definedName>
    <definedName name="p8Len">'1'!$AB$20</definedName>
    <definedName name="p8x">p8Len*SIN(OMax*SIN(SQRT(g/p8Len)*t))*{0;1}</definedName>
    <definedName name="p8y">-p8Len*COS(OMax*SIN(SQRT(g/p8Len)*t))*{0;1}</definedName>
    <definedName name="p8z">-Spacing*{1;1}</definedName>
    <definedName name="p9Len">'1'!$AB$21</definedName>
    <definedName name="p9x">p9Len*SIN(OMax*SIN(SQRT(g/p9Len)*t))*{0;1}</definedName>
    <definedName name="p9y">-p9Len*COS(OMax*SIN(SQRT(g/p9Len)*t))*{0;1}</definedName>
    <definedName name="p9z">0*Spacing*{1;1}</definedName>
    <definedName name="pp10x">(p10x*RM_X1)+(p10y*RM_Y1)+(p10z*RM_Z1)</definedName>
    <definedName name="pp10y">(p10x*RM_X2)+(p10y*RM_Y2)+(p10z*RM_Z2)</definedName>
    <definedName name="pp11x">(p11x*RM_X1)+(p11y*RM_Y1)+(p11z*RM_Z1)</definedName>
    <definedName name="pp11y">(p11x*RM_X2)+(p11y*RM_Y2)+(p11z*RM_Z2)</definedName>
    <definedName name="pp12x">(p12x*RM_X1)+(p12y*RM_Y1)+(p12z*RM_Z1)</definedName>
    <definedName name="pp12y">(p12x*RM_X2)+(p12y*RM_Y2)+(p12z*RM_Z2)</definedName>
    <definedName name="pp13x">(p13x*RM_X1)+(p13y*RM_Y1)+(p13z*RM_Z1)</definedName>
    <definedName name="pp13y">(p13x*RM_X2)+(p13y*RM_Y2)+(p13z*RM_Z2)</definedName>
    <definedName name="pp14x">(p14x*RM_X1)+(p14y*RM_Y1)+(p14z*RM_Z1)</definedName>
    <definedName name="pp14y">(p14x*RM_X2)+(p14y*RM_Y2)+(p14z*RM_Z2)</definedName>
    <definedName name="pp15x">(p15x*RM_X1)+(p15y*RM_Y1)+(p15z*RM_Z1)</definedName>
    <definedName name="pp15y">(p15x*RM_X2)+(p15y*RM_Y2)+(p15z*RM_Z2)</definedName>
    <definedName name="pp16x">(p16x*RM_X1)+(p16y*RM_Y1)+(p16z*RM_Z1)</definedName>
    <definedName name="pp16y">(p16x*RM_X2)+(p16y*RM_Y2)+(p16z*RM_Z2)</definedName>
    <definedName name="pp1x">(p1x*RM_X1)+(p1y*RM_Y1)+(p1z*RM_Z1)</definedName>
    <definedName name="pp1y">(p1x*RM_X2)+(p1y*RM_Y2)+(p1z*RM_Z2)</definedName>
    <definedName name="pp2x">(p2x*RM_X1)+(p2y*RM_Y1)+(p2z*RM_Z1)</definedName>
    <definedName name="pp2y">(p2x*RM_X2)+(p2y*RM_Y2)+(p2z*RM_Z2)</definedName>
    <definedName name="pp3x">(p3x*RM_X1)+(p3y*RM_Y1)+(p3z*RM_Z1)</definedName>
    <definedName name="pp3y">(p3x*RM_X2)+(p3y*RM_Y2)+(p3z*RM_Z2)</definedName>
    <definedName name="pp4x">(p4x*RM_X1)+(p4y*RM_Y1)+(p4z*RM_Z1)</definedName>
    <definedName name="pp4y">(p4x*RM_X2)+(p4y*RM_Y2)+(p4z*RM_Z2)</definedName>
    <definedName name="pp5x">(p5x*RM_X1)+(p5y*RM_Y1)+(p5z*RM_Z1)</definedName>
    <definedName name="pp5y">(p5x*RM_X2)+(p5y*RM_Y2)+(p5z*RM_Z2)</definedName>
    <definedName name="pp6x">(p6x*RM_X1)+(p6y*RM_Y1)+(p6z*RM_Z1)</definedName>
    <definedName name="pp6y">(p6x*RM_X2)+(p6y*RM_Y2)+(p6z*RM_Z2)</definedName>
    <definedName name="pp7x">(p7x*RM_X1)+(p7y*RM_Y1)+(p7z*RM_Z1)</definedName>
    <definedName name="pp7y">(p7x*RM_X2)+(p7y*RM_Y2)+(p7z*RM_Z2)</definedName>
    <definedName name="pp8x">(p8x*RM_X1)+(p8y*RM_Y1)+(p8z*RM_Z1)</definedName>
    <definedName name="pp8y">(p8x*RM_X2)+(p8y*RM_Y2)+(p8z*RM_Z2)</definedName>
    <definedName name="pp9x">(p9x*RM_X1)+(p9y*RM_Y1)+(p9z*RM_Z1)</definedName>
    <definedName name="pp9y">(p9x*RM_X2)+(p9y*RM_Y2)+(p9z*RM_Z2)</definedName>
    <definedName name="QQ">'1'!$K$6</definedName>
    <definedName name="RM_X1">YCos*ZCos</definedName>
    <definedName name="RM_X2">ZCos * -YSin * -XSin + ZSin * XCos</definedName>
    <definedName name="RM_X3">ZCos * -YSin * XCos + ZSin * XSin</definedName>
    <definedName name="RM_Y1">-ZSin * YCos</definedName>
    <definedName name="RM_Y2">-ZSin * -YSin * -XSin + ZCos*XCos</definedName>
    <definedName name="RM_Y3">-ZSin * -YSin * XCos + ZCos * XSin</definedName>
    <definedName name="RM_Z1">YSin</definedName>
    <definedName name="RM_Z2">YCos * -XSin</definedName>
    <definedName name="RM_Z3">YCos * XCos</definedName>
    <definedName name="ShowAxis">'1'!$AB$11</definedName>
    <definedName name="ShowCage">'1'!$AB$10</definedName>
    <definedName name="Spacing">'1'!$H$8</definedName>
    <definedName name="Start">-p1Len*COS(OMax)</definedName>
    <definedName name="t">19.5199999999997</definedName>
    <definedName name="tinc">'1'!$H$5</definedName>
    <definedName name="XAngle">'1'!$N$11</definedName>
    <definedName name="XCos">COS(RADIANS(XAngle))</definedName>
    <definedName name="XSin">SIN(RADIANS(XAngle))</definedName>
    <definedName name="YAngle">'1'!$N$12</definedName>
    <definedName name="YCos">COS(RADIANS(YAngle))</definedName>
    <definedName name="YSin">SIN(RADIANS(YAngle))</definedName>
    <definedName name="ZAngle">'1'!$N$13</definedName>
    <definedName name="ZCos">COS(RADIANS(ZAngle))</definedName>
    <definedName name="ZSin">SIN(RADIANS(ZAngle))</definedName>
  </definedNames>
  <calcPr calcId="125725"/>
</workbook>
</file>

<file path=xl/calcChain.xml><?xml version="1.0" encoding="utf-8"?>
<calcChain xmlns="http://schemas.openxmlformats.org/spreadsheetml/2006/main">
  <c r="AD66" i="1"/>
  <c r="AB85"/>
  <c r="AB88"/>
  <c r="AC90"/>
  <c r="AB90"/>
  <c r="AC89"/>
  <c r="AB89"/>
  <c r="AC88"/>
  <c r="AC86"/>
  <c r="AB86"/>
  <c r="AC84"/>
  <c r="AB84"/>
  <c r="AC83"/>
  <c r="AB83"/>
  <c r="AC82"/>
  <c r="AB82"/>
  <c r="AC81"/>
  <c r="AB81"/>
  <c r="AC78"/>
  <c r="AC77"/>
  <c r="AB77"/>
  <c r="AC76"/>
  <c r="AB76"/>
  <c r="AC72"/>
  <c r="AB72"/>
  <c r="AD58"/>
  <c r="AB78" s="1"/>
  <c r="AD53"/>
  <c r="AB73" s="1"/>
  <c r="AD54"/>
  <c r="AD55" s="1"/>
  <c r="AD40"/>
  <c r="AC37"/>
  <c r="AB34"/>
  <c r="AC43" s="1"/>
  <c r="AD39"/>
  <c r="AB48" s="1"/>
  <c r="AC36"/>
  <c r="AB33"/>
  <c r="AB42" s="1"/>
  <c r="AC49"/>
  <c r="AB49"/>
  <c r="AC48"/>
  <c r="AC47"/>
  <c r="AB47"/>
  <c r="AC46"/>
  <c r="AB46"/>
  <c r="AC45"/>
  <c r="AB45"/>
  <c r="AC44"/>
  <c r="AB44"/>
  <c r="AB43"/>
  <c r="AC73" l="1"/>
  <c r="AC87"/>
  <c r="AB87"/>
  <c r="AC85"/>
  <c r="AB75"/>
  <c r="AC75"/>
  <c r="AC74"/>
  <c r="AB74"/>
  <c r="AD59"/>
  <c r="AC42"/>
  <c r="AB79" l="1"/>
  <c r="AC79"/>
  <c r="AD60"/>
  <c r="H7"/>
  <c r="AB80" l="1"/>
  <c r="AC80"/>
  <c r="AC15"/>
  <c r="AC16" s="1"/>
  <c r="AB14"/>
  <c r="AB15" l="1"/>
  <c r="AC17"/>
  <c r="AB16"/>
  <c r="AC18" l="1"/>
  <c r="AB17"/>
  <c r="AC19" l="1"/>
  <c r="AB18"/>
  <c r="AC20" l="1"/>
  <c r="AB19"/>
  <c r="AB20" l="1"/>
  <c r="AC21"/>
  <c r="AC22" l="1"/>
  <c r="AB21"/>
  <c r="AB22" l="1"/>
  <c r="AC23"/>
  <c r="AC24" l="1"/>
  <c r="AB23"/>
  <c r="AB24" l="1"/>
  <c r="AC25"/>
  <c r="AC26" l="1"/>
  <c r="AB25"/>
  <c r="AB26" l="1"/>
  <c r="AC27"/>
  <c r="AC28" l="1"/>
  <c r="AB27"/>
  <c r="AB28" l="1"/>
</calcChain>
</file>

<file path=xl/comments1.xml><?xml version="1.0" encoding="utf-8"?>
<comments xmlns="http://schemas.openxmlformats.org/spreadsheetml/2006/main">
  <authors>
    <author>Ian Huitson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<sst xmlns="http://schemas.openxmlformats.org/spreadsheetml/2006/main" count="37" uniqueCount="33">
  <si>
    <t>Pendulum</t>
  </si>
  <si>
    <t>Gravity</t>
  </si>
  <si>
    <t>Degrees</t>
  </si>
  <si>
    <t>Swing (Max)</t>
  </si>
  <si>
    <t>Length, cm</t>
  </si>
  <si>
    <t>Cycles/T</t>
  </si>
  <si>
    <t>Time Inc</t>
  </si>
  <si>
    <t xml:space="preserve">Inspiration: </t>
  </si>
  <si>
    <t>Smaller = Slower</t>
  </si>
  <si>
    <t xml:space="preserve">Bob Color </t>
  </si>
  <si>
    <t xml:space="preserve">Wire Color </t>
  </si>
  <si>
    <t>Newton Excel Bach</t>
  </si>
  <si>
    <t xml:space="preserve">Author: </t>
  </si>
  <si>
    <t>Ian Huitson</t>
  </si>
  <si>
    <t>Spacing</t>
  </si>
  <si>
    <t>cm</t>
  </si>
  <si>
    <t>Tinc</t>
  </si>
  <si>
    <t>max Swing</t>
  </si>
  <si>
    <t>Running</t>
  </si>
  <si>
    <t>X Angle</t>
  </si>
  <si>
    <t>Y Angle</t>
  </si>
  <si>
    <t>Z Angle</t>
  </si>
  <si>
    <t xml:space="preserve">3D Code: </t>
  </si>
  <si>
    <t>AJP Excel Information</t>
  </si>
  <si>
    <r>
      <t>cm/s</t>
    </r>
    <r>
      <rPr>
        <vertAlign val="superscript"/>
        <sz val="16"/>
        <color theme="1" tint="0.499984740745262"/>
        <rFont val="Calibri"/>
        <family val="2"/>
        <scheme val="minor"/>
      </rPr>
      <t>2</t>
    </r>
    <r>
      <rPr>
        <sz val="16"/>
        <color theme="1" tint="0.499984740745262"/>
        <rFont val="Calibri"/>
        <family val="2"/>
        <scheme val="minor"/>
      </rPr>
      <t xml:space="preserve"> </t>
    </r>
  </si>
  <si>
    <t>Axes</t>
  </si>
  <si>
    <t>X</t>
  </si>
  <si>
    <t>Y</t>
  </si>
  <si>
    <t>Z</t>
  </si>
  <si>
    <t>Cage</t>
  </si>
  <si>
    <t>Grid</t>
  </si>
  <si>
    <t>Show Cage</t>
  </si>
  <si>
    <t>Show Axis</t>
  </si>
</sst>
</file>

<file path=xl/styles.xml><?xml version="1.0" encoding="utf-8"?>
<styleSheet xmlns="http://schemas.openxmlformats.org/spreadsheetml/2006/main">
  <fonts count="25"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0000"/>
      <name val="Tahoma"/>
      <family val="2"/>
    </font>
    <font>
      <b/>
      <u/>
      <sz val="8"/>
      <color theme="1"/>
      <name val="Calibri"/>
      <family val="2"/>
      <scheme val="minor"/>
    </font>
    <font>
      <b/>
      <sz val="8"/>
      <color rgb="FF0000FF"/>
      <name val="Calibri"/>
      <family val="2"/>
      <scheme val="minor"/>
    </font>
    <font>
      <u/>
      <sz val="10.4"/>
      <color theme="10"/>
      <name val="Calibri"/>
      <family val="2"/>
    </font>
    <font>
      <u/>
      <sz val="8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2"/>
      <color theme="10"/>
      <name val="Calibri"/>
      <family val="2"/>
    </font>
    <font>
      <b/>
      <sz val="16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 tint="0.499984740745262"/>
      <name val="Calibri"/>
      <family val="2"/>
      <scheme val="minor"/>
    </font>
    <font>
      <vertAlign val="superscript"/>
      <sz val="16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6"/>
      <color theme="10"/>
      <name val="Calibri"/>
      <family val="2"/>
    </font>
    <font>
      <b/>
      <u/>
      <sz val="16"/>
      <color theme="10"/>
      <name val="Calibri"/>
      <family val="2"/>
    </font>
    <font>
      <sz val="8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00FF"/>
      </left>
      <right/>
      <top style="double">
        <color rgb="FF0000FF"/>
      </top>
      <bottom/>
      <diagonal/>
    </border>
    <border>
      <left/>
      <right/>
      <top style="double">
        <color rgb="FF0000FF"/>
      </top>
      <bottom/>
      <diagonal/>
    </border>
    <border>
      <left/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/>
      <top/>
      <bottom/>
      <diagonal/>
    </border>
    <border>
      <left/>
      <right style="double">
        <color rgb="FF0000FF"/>
      </right>
      <top/>
      <bottom/>
      <diagonal/>
    </border>
    <border>
      <left style="double">
        <color rgb="FF0000FF"/>
      </left>
      <right/>
      <top/>
      <bottom style="double">
        <color rgb="FF0000FF"/>
      </bottom>
      <diagonal/>
    </border>
    <border>
      <left/>
      <right/>
      <top/>
      <bottom style="double">
        <color rgb="FF0000FF"/>
      </bottom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8">
    <xf numFmtId="0" fontId="0" fillId="0" borderId="0" xfId="0"/>
    <xf numFmtId="0" fontId="0" fillId="4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2" fontId="0" fillId="4" borderId="0" xfId="0" quotePrefix="1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quotePrefix="1" applyNumberFormat="1" applyFont="1" applyFill="1" applyAlignment="1">
      <alignment horizontal="center"/>
    </xf>
    <xf numFmtId="0" fontId="8" fillId="4" borderId="0" xfId="2" applyFont="1" applyFill="1" applyAlignment="1" applyProtection="1"/>
    <xf numFmtId="0" fontId="0" fillId="4" borderId="0" xfId="0" applyFill="1" applyAlignment="1">
      <alignment horizontal="centerContinuous"/>
    </xf>
    <xf numFmtId="0" fontId="9" fillId="4" borderId="0" xfId="0" applyFont="1" applyFill="1" applyAlignment="1">
      <alignment horizontal="centerContinuous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4" borderId="0" xfId="0" applyFont="1" applyFill="1"/>
    <xf numFmtId="0" fontId="15" fillId="4" borderId="0" xfId="2" applyFont="1" applyFill="1" applyAlignment="1" applyProtection="1"/>
    <xf numFmtId="0" fontId="14" fillId="4" borderId="0" xfId="0" applyFont="1" applyFill="1" applyAlignment="1">
      <alignment horizontal="right"/>
    </xf>
    <xf numFmtId="0" fontId="17" fillId="4" borderId="0" xfId="0" applyFont="1" applyFill="1" applyAlignment="1">
      <alignment horizontal="centerContinuous"/>
    </xf>
    <xf numFmtId="0" fontId="1" fillId="4" borderId="0" xfId="0" applyFont="1" applyFill="1"/>
    <xf numFmtId="0" fontId="1" fillId="0" borderId="0" xfId="0" applyFont="1"/>
    <xf numFmtId="0" fontId="16" fillId="3" borderId="1" xfId="1" applyFont="1" applyFill="1" applyBorder="1"/>
    <xf numFmtId="0" fontId="16" fillId="3" borderId="2" xfId="1" applyFont="1" applyFill="1" applyBorder="1"/>
    <xf numFmtId="3" fontId="16" fillId="3" borderId="3" xfId="1" applyNumberFormat="1" applyFont="1" applyFill="1" applyBorder="1"/>
    <xf numFmtId="0" fontId="16" fillId="3" borderId="4" xfId="1" applyFont="1" applyFill="1" applyBorder="1" applyAlignment="1">
      <alignment horizontal="center"/>
    </xf>
    <xf numFmtId="0" fontId="16" fillId="3" borderId="5" xfId="1" applyFont="1" applyFill="1" applyBorder="1" applyAlignment="1">
      <alignment horizontal="center"/>
    </xf>
    <xf numFmtId="0" fontId="16" fillId="3" borderId="6" xfId="1" applyFont="1" applyFill="1" applyBorder="1" applyAlignment="1">
      <alignment horizontal="center"/>
    </xf>
    <xf numFmtId="0" fontId="0" fillId="4" borderId="0" xfId="0" applyFont="1" applyFill="1"/>
    <xf numFmtId="0" fontId="0" fillId="4" borderId="0" xfId="0" applyFont="1" applyFill="1" applyAlignment="1">
      <alignment horizontal="center"/>
    </xf>
    <xf numFmtId="2" fontId="0" fillId="4" borderId="0" xfId="0" quotePrefix="1" applyNumberFormat="1" applyFont="1" applyFill="1" applyAlignment="1">
      <alignment horizontal="center"/>
    </xf>
    <xf numFmtId="0" fontId="0" fillId="0" borderId="0" xfId="0" applyFont="1"/>
    <xf numFmtId="0" fontId="12" fillId="4" borderId="7" xfId="0" applyFont="1" applyFill="1" applyBorder="1" applyAlignment="1">
      <alignment horizontal="centerContinuous"/>
    </xf>
    <xf numFmtId="0" fontId="0" fillId="4" borderId="8" xfId="0" applyFill="1" applyBorder="1" applyAlignment="1">
      <alignment horizontal="centerContinuous"/>
    </xf>
    <xf numFmtId="0" fontId="0" fillId="4" borderId="8" xfId="0" applyFill="1" applyBorder="1"/>
    <xf numFmtId="0" fontId="0" fillId="4" borderId="9" xfId="0" applyFill="1" applyBorder="1"/>
    <xf numFmtId="0" fontId="12" fillId="4" borderId="10" xfId="0" applyFont="1" applyFill="1" applyBorder="1" applyAlignment="1">
      <alignment horizontal="centerContinuous"/>
    </xf>
    <xf numFmtId="0" fontId="0" fillId="4" borderId="0" xfId="0" applyFill="1" applyBorder="1" applyAlignment="1">
      <alignment horizontal="centerContinuous"/>
    </xf>
    <xf numFmtId="0" fontId="0" fillId="4" borderId="0" xfId="0" applyFill="1" applyBorder="1"/>
    <xf numFmtId="0" fontId="0" fillId="4" borderId="11" xfId="0" applyFill="1" applyBorder="1"/>
    <xf numFmtId="0" fontId="17" fillId="4" borderId="10" xfId="0" applyFont="1" applyFill="1" applyBorder="1" applyAlignment="1">
      <alignment horizontal="centerContinuous"/>
    </xf>
    <xf numFmtId="0" fontId="1" fillId="4" borderId="0" xfId="0" applyFont="1" applyFill="1" applyBorder="1" applyAlignment="1">
      <alignment horizontal="centerContinuous"/>
    </xf>
    <xf numFmtId="0" fontId="1" fillId="4" borderId="0" xfId="0" applyFont="1" applyFill="1" applyBorder="1"/>
    <xf numFmtId="0" fontId="17" fillId="4" borderId="0" xfId="0" applyFont="1" applyFill="1" applyBorder="1" applyAlignment="1">
      <alignment horizontal="centerContinuous"/>
    </xf>
    <xf numFmtId="0" fontId="1" fillId="4" borderId="11" xfId="0" applyFont="1" applyFill="1" applyBorder="1"/>
    <xf numFmtId="0" fontId="0" fillId="4" borderId="10" xfId="0" applyFill="1" applyBorder="1"/>
    <xf numFmtId="0" fontId="18" fillId="4" borderId="0" xfId="0" applyFont="1" applyFill="1" applyBorder="1" applyAlignment="1">
      <alignment horizontal="right"/>
    </xf>
    <xf numFmtId="0" fontId="19" fillId="4" borderId="0" xfId="0" applyFont="1" applyFill="1" applyBorder="1"/>
    <xf numFmtId="0" fontId="22" fillId="4" borderId="0" xfId="2" applyFont="1" applyFill="1" applyBorder="1" applyAlignment="1" applyProtection="1"/>
    <xf numFmtId="0" fontId="21" fillId="4" borderId="0" xfId="0" applyFont="1" applyFill="1" applyBorder="1"/>
    <xf numFmtId="0" fontId="0" fillId="4" borderId="10" xfId="0" applyFont="1" applyFill="1" applyBorder="1"/>
    <xf numFmtId="0" fontId="0" fillId="4" borderId="0" xfId="0" applyFont="1" applyFill="1" applyBorder="1"/>
    <xf numFmtId="0" fontId="3" fillId="4" borderId="0" xfId="0" applyFont="1" applyFill="1" applyBorder="1" applyAlignment="1">
      <alignment horizontal="right"/>
    </xf>
    <xf numFmtId="0" fontId="0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6" fillId="3" borderId="21" xfId="0" applyFont="1" applyFill="1" applyBorder="1" applyAlignment="1">
      <alignment horizontal="center"/>
    </xf>
    <xf numFmtId="0" fontId="6" fillId="3" borderId="22" xfId="0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23" fillId="4" borderId="0" xfId="2" applyFont="1" applyFill="1" applyBorder="1" applyAlignment="1" applyProtection="1"/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5" xfId="0" applyFill="1" applyBorder="1"/>
    <xf numFmtId="0" fontId="0" fillId="4" borderId="20" xfId="0" applyFill="1" applyBorder="1"/>
    <xf numFmtId="0" fontId="3" fillId="4" borderId="0" xfId="0" applyFont="1" applyFill="1" applyBorder="1"/>
    <xf numFmtId="0" fontId="0" fillId="5" borderId="15" xfId="0" applyFill="1" applyBorder="1"/>
    <xf numFmtId="0" fontId="0" fillId="5" borderId="2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5" xfId="0" applyFill="1" applyBorder="1"/>
    <xf numFmtId="0" fontId="0" fillId="5" borderId="20" xfId="0" applyFill="1" applyBorder="1"/>
  </cellXfs>
  <cellStyles count="4">
    <cellStyle name="Good" xfId="1" builtinId="26"/>
    <cellStyle name="Hyperlink" xfId="2" builtinId="8"/>
    <cellStyle name="Normal" xfId="0" builtinId="0"/>
    <cellStyle name="Normal 2" xfId="3"/>
  </cellStyles>
  <dxfs count="0"/>
  <tableStyles count="0" defaultTableStyle="TableStyleMedium9" defaultPivotStyle="PivotStyleLight16"/>
  <colors>
    <mruColors>
      <color rgb="FF0000FF"/>
      <color rgb="FFFFFE00"/>
      <color rgb="FF58585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4.1314804001438034E-2"/>
          <c:y val="3.1362405178753459E-2"/>
          <c:w val="0.91599994438751264"/>
          <c:h val="0.93762335668108998"/>
        </c:manualLayout>
      </c:layout>
      <c:scatterChart>
        <c:scatterStyle val="lineMarker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[0]!pp1x</c:f>
              <c:numCache>
                <c:formatCode>General</c:formatCode>
                <c:ptCount val="2"/>
                <c:pt idx="0">
                  <c:v>0</c:v>
                </c:pt>
                <c:pt idx="1">
                  <c:v>-14.350189489480115</c:v>
                </c:pt>
              </c:numCache>
            </c:numRef>
          </c:xVal>
          <c:yVal>
            <c:numRef>
              <c:f>[0]!pp1y</c:f>
              <c:numCache>
                <c:formatCode>General</c:formatCode>
                <c:ptCount val="2"/>
                <c:pt idx="0">
                  <c:v>0</c:v>
                </c:pt>
                <c:pt idx="1">
                  <c:v>-58.258665120443794</c:v>
                </c:pt>
              </c:numCache>
            </c:numRef>
          </c:yVal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[0]!pp2x</c:f>
              <c:numCache>
                <c:formatCode>General</c:formatCode>
                <c:ptCount val="2"/>
                <c:pt idx="0">
                  <c:v>0</c:v>
                </c:pt>
                <c:pt idx="1">
                  <c:v>22.124840215966042</c:v>
                </c:pt>
              </c:numCache>
            </c:numRef>
          </c:xVal>
          <c:yVal>
            <c:numRef>
              <c:f>[0]!pp2y</c:f>
              <c:numCache>
                <c:formatCode>General</c:formatCode>
                <c:ptCount val="2"/>
                <c:pt idx="0">
                  <c:v>0</c:v>
                </c:pt>
                <c:pt idx="1">
                  <c:v>-48.103492344053784</c:v>
                </c:pt>
              </c:numCache>
            </c:numRef>
          </c:yVal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[0]!pp3x</c:f>
              <c:numCache>
                <c:formatCode>General</c:formatCode>
                <c:ptCount val="2"/>
                <c:pt idx="0">
                  <c:v>0</c:v>
                </c:pt>
                <c:pt idx="1">
                  <c:v>25.084216779011193</c:v>
                </c:pt>
              </c:numCache>
            </c:numRef>
          </c:xVal>
          <c:yVal>
            <c:numRef>
              <c:f>[0]!pp3y</c:f>
              <c:numCache>
                <c:formatCode>General</c:formatCode>
                <c:ptCount val="2"/>
                <c:pt idx="0">
                  <c:v>0</c:v>
                </c:pt>
                <c:pt idx="1">
                  <c:v>-39.82849899536415</c:v>
                </c:pt>
              </c:numCache>
            </c:numRef>
          </c:yVal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[0]!pp4x</c:f>
              <c:numCache>
                <c:formatCode>General</c:formatCode>
                <c:ptCount val="2"/>
                <c:pt idx="0">
                  <c:v>0</c:v>
                </c:pt>
                <c:pt idx="1">
                  <c:v>-0.55519149023806103</c:v>
                </c:pt>
              </c:numCache>
            </c:numRef>
          </c:xVal>
          <c:yVal>
            <c:numRef>
              <c:f>[0]!pp4y</c:f>
              <c:numCache>
                <c:formatCode>General</c:formatCode>
                <c:ptCount val="2"/>
                <c:pt idx="0">
                  <c:v>0</c:v>
                </c:pt>
                <c:pt idx="1">
                  <c:v>-42.114675206387368</c:v>
                </c:pt>
              </c:numCache>
            </c:numRef>
          </c:yVal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[0]!pp5x</c:f>
              <c:numCache>
                <c:formatCode>General</c:formatCode>
                <c:ptCount val="2"/>
                <c:pt idx="0">
                  <c:v>0</c:v>
                </c:pt>
                <c:pt idx="1">
                  <c:v>-20.516039887466704</c:v>
                </c:pt>
              </c:numCache>
            </c:numRef>
          </c:xVal>
          <c:yVal>
            <c:numRef>
              <c:f>[0]!pp5y</c:f>
              <c:numCache>
                <c:formatCode>General</c:formatCode>
                <c:ptCount val="2"/>
                <c:pt idx="0">
                  <c:v>0</c:v>
                </c:pt>
                <c:pt idx="1">
                  <c:v>-31.877968500495083</c:v>
                </c:pt>
              </c:numCache>
            </c:numRef>
          </c:yVal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[0]!pp6x</c:f>
              <c:numCache>
                <c:formatCode>General</c:formatCode>
                <c:ptCount val="2"/>
                <c:pt idx="0">
                  <c:v>0</c:v>
                </c:pt>
                <c:pt idx="1">
                  <c:v>-13.73606318037524</c:v>
                </c:pt>
              </c:numCache>
            </c:numRef>
          </c:xVal>
          <c:yVal>
            <c:numRef>
              <c:f>[0]!pp6y</c:f>
              <c:numCache>
                <c:formatCode>General</c:formatCode>
                <c:ptCount val="2"/>
                <c:pt idx="0">
                  <c:v>0</c:v>
                </c:pt>
                <c:pt idx="1">
                  <c:v>-31.430557499021166</c:v>
                </c:pt>
              </c:numCache>
            </c:numRef>
          </c:yVal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[0]!pp7x</c:f>
              <c:numCache>
                <c:formatCode>General</c:formatCode>
                <c:ptCount val="2"/>
                <c:pt idx="0">
                  <c:v>0</c:v>
                </c:pt>
                <c:pt idx="1">
                  <c:v>8.1824284950283666</c:v>
                </c:pt>
              </c:numCache>
            </c:numRef>
          </c:xVal>
          <c:yVal>
            <c:numRef>
              <c:f>[0]!pp7y</c:f>
              <c:numCache>
                <c:formatCode>General</c:formatCode>
                <c:ptCount val="2"/>
                <c:pt idx="0">
                  <c:v>0</c:v>
                </c:pt>
                <c:pt idx="1">
                  <c:v>-30.091795641753755</c:v>
                </c:pt>
              </c:numCache>
            </c:numRef>
          </c:yVal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[0]!pp8x</c:f>
              <c:numCache>
                <c:formatCode>General</c:formatCode>
                <c:ptCount val="2"/>
                <c:pt idx="0">
                  <c:v>0</c:v>
                </c:pt>
                <c:pt idx="1">
                  <c:v>16.298429557493421</c:v>
                </c:pt>
              </c:numCache>
            </c:numRef>
          </c:xVal>
          <c:yVal>
            <c:numRef>
              <c:f>[0]!pp8y</c:f>
              <c:numCache>
                <c:formatCode>General</c:formatCode>
                <c:ptCount val="2"/>
                <c:pt idx="0">
                  <c:v>0</c:v>
                </c:pt>
                <c:pt idx="1">
                  <c:v>-23.348106739846852</c:v>
                </c:pt>
              </c:numCache>
            </c:numRef>
          </c:yVal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[0]!pp9x</c:f>
              <c:numCache>
                <c:formatCode>General</c:formatCode>
                <c:ptCount val="2"/>
                <c:pt idx="0">
                  <c:v>0</c:v>
                </c:pt>
                <c:pt idx="1">
                  <c:v>4.8691338502499457</c:v>
                </c:pt>
              </c:numCache>
            </c:numRef>
          </c:xVal>
          <c:yVal>
            <c:numRef>
              <c:f>[0]!pp9y</c:f>
              <c:numCache>
                <c:formatCode>General</c:formatCode>
                <c:ptCount val="2"/>
                <c:pt idx="0">
                  <c:v>0</c:v>
                </c:pt>
                <c:pt idx="1">
                  <c:v>-25.644142741554777</c:v>
                </c:pt>
              </c:numCache>
            </c:numRef>
          </c:yVal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[0]!pp10x</c:f>
              <c:numCache>
                <c:formatCode>General</c:formatCode>
                <c:ptCount val="2"/>
                <c:pt idx="0">
                  <c:v>0</c:v>
                </c:pt>
                <c:pt idx="1">
                  <c:v>-10.874033788066589</c:v>
                </c:pt>
              </c:numCache>
            </c:numRef>
          </c:xVal>
          <c:yVal>
            <c:numRef>
              <c:f>[0]!pp10y</c:f>
              <c:numCache>
                <c:formatCode>General</c:formatCode>
                <c:ptCount val="2"/>
                <c:pt idx="0">
                  <c:v>0</c:v>
                </c:pt>
                <c:pt idx="1">
                  <c:v>-21.412036664305226</c:v>
                </c:pt>
              </c:numCache>
            </c:numRef>
          </c:yVal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[0]!pp11x</c:f>
              <c:numCache>
                <c:formatCode>General</c:formatCode>
                <c:ptCount val="2"/>
                <c:pt idx="0">
                  <c:v>0</c:v>
                </c:pt>
                <c:pt idx="1">
                  <c:v>-11.341171985976271</c:v>
                </c:pt>
              </c:numCache>
            </c:numRef>
          </c:xVal>
          <c:yVal>
            <c:numRef>
              <c:f>[0]!pp11y</c:f>
              <c:numCache>
                <c:formatCode>General</c:formatCode>
                <c:ptCount val="2"/>
                <c:pt idx="0">
                  <c:v>0</c:v>
                </c:pt>
                <c:pt idx="1">
                  <c:v>-19.047719899180056</c:v>
                </c:pt>
              </c:numCache>
            </c:numRef>
          </c:yVal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[0]!pp12x</c:f>
              <c:numCache>
                <c:formatCode>General</c:formatCode>
                <c:ptCount val="2"/>
                <c:pt idx="0">
                  <c:v>0</c:v>
                </c:pt>
                <c:pt idx="1">
                  <c:v>1.4478533030532736</c:v>
                </c:pt>
              </c:numCache>
            </c:numRef>
          </c:xVal>
          <c:yVal>
            <c:numRef>
              <c:f>[0]!pp12y</c:f>
              <c:numCache>
                <c:formatCode>General</c:formatCode>
                <c:ptCount val="2"/>
                <c:pt idx="0">
                  <c:v>0</c:v>
                </c:pt>
                <c:pt idx="1">
                  <c:v>-20.475752411717814</c:v>
                </c:pt>
              </c:numCache>
            </c:numRef>
          </c:yVal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[0]!pp13x</c:f>
              <c:numCache>
                <c:formatCode>General</c:formatCode>
                <c:ptCount val="2"/>
                <c:pt idx="0">
                  <c:v>0</c:v>
                </c:pt>
                <c:pt idx="1">
                  <c:v>10.597373212813237</c:v>
                </c:pt>
              </c:numCache>
            </c:numRef>
          </c:xVal>
          <c:yVal>
            <c:numRef>
              <c:f>[0]!pp13y</c:f>
              <c:numCache>
                <c:formatCode>General</c:formatCode>
                <c:ptCount val="2"/>
                <c:pt idx="0">
                  <c:v>0</c:v>
                </c:pt>
                <c:pt idx="1">
                  <c:v>-15.843717622836467</c:v>
                </c:pt>
              </c:numCache>
            </c:numRef>
          </c:yVal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[0]!pp14x</c:f>
              <c:numCache>
                <c:formatCode>General</c:formatCode>
                <c:ptCount val="2"/>
                <c:pt idx="0">
                  <c:v>0</c:v>
                </c:pt>
                <c:pt idx="1">
                  <c:v>6.380300617930641</c:v>
                </c:pt>
              </c:numCache>
            </c:numRef>
          </c:xVal>
          <c:yVal>
            <c:numRef>
              <c:f>[0]!pp14y</c:f>
              <c:numCache>
                <c:formatCode>General</c:formatCode>
                <c:ptCount val="2"/>
                <c:pt idx="0">
                  <c:v>0</c:v>
                </c:pt>
                <c:pt idx="1">
                  <c:v>-16.560426934443999</c:v>
                </c:pt>
              </c:numCache>
            </c:numRef>
          </c:yVal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[0]!pp15x</c:f>
              <c:numCache>
                <c:formatCode>General</c:formatCode>
                <c:ptCount val="2"/>
                <c:pt idx="0">
                  <c:v>0</c:v>
                </c:pt>
                <c:pt idx="1">
                  <c:v>-5.1489979513050246</c:v>
                </c:pt>
              </c:numCache>
            </c:numRef>
          </c:xVal>
          <c:yVal>
            <c:numRef>
              <c:f>[0]!pp15y</c:f>
              <c:numCache>
                <c:formatCode>General</c:formatCode>
                <c:ptCount val="2"/>
                <c:pt idx="0">
                  <c:v>0</c:v>
                </c:pt>
                <c:pt idx="1">
                  <c:v>-15.74359330561208</c:v>
                </c:pt>
              </c:numCache>
            </c:numRef>
          </c:yVal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circle"/>
              <c:size val="10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</c:marker>
          </c:dPt>
          <c:xVal>
            <c:numRef>
              <c:f>[0]!pp16x</c:f>
              <c:numCache>
                <c:formatCode>General</c:formatCode>
                <c:ptCount val="2"/>
                <c:pt idx="0">
                  <c:v>0</c:v>
                </c:pt>
                <c:pt idx="1">
                  <c:v>-8.7850494373542105</c:v>
                </c:pt>
              </c:numCache>
            </c:numRef>
          </c:xVal>
          <c:yVal>
            <c:numRef>
              <c:f>[0]!pp16y</c:f>
              <c:numCache>
                <c:formatCode>General</c:formatCode>
                <c:ptCount val="2"/>
                <c:pt idx="0">
                  <c:v>0</c:v>
                </c:pt>
                <c:pt idx="1">
                  <c:v>-12.764943861265023</c:v>
                </c:pt>
              </c:numCache>
            </c:numRef>
          </c:yVal>
        </c:ser>
        <c:ser>
          <c:idx val="16"/>
          <c:order val="16"/>
          <c:tx>
            <c:v>Axis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'1'!$AB$42:$AB$49</c:f>
              <c:numCache>
                <c:formatCode>General</c:formatCode>
                <c:ptCount val="8"/>
                <c:pt idx="0">
                  <c:v>-50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'1'!$AC$42:$AC$49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ser>
          <c:idx val="17"/>
          <c:order val="17"/>
          <c:tx>
            <c:v>Cage</c:v>
          </c:tx>
          <c:spPr>
            <a:ln w="412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'1'!$AB$72:$AB$87</c:f>
              <c:numCache>
                <c:formatCode>General</c:formatCode>
                <c:ptCount val="16"/>
                <c:pt idx="0">
                  <c:v>0</c:v>
                </c:pt>
                <c:pt idx="1">
                  <c:v>-40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-40</c:v>
                </c:pt>
                <c:pt idx="13">
                  <c:v>-40</c:v>
                </c:pt>
                <c:pt idx="14">
                  <c:v>40</c:v>
                </c:pt>
                <c:pt idx="15">
                  <c:v>40</c:v>
                </c:pt>
              </c:numCache>
            </c:numRef>
          </c:xVal>
          <c:yVal>
            <c:numRef>
              <c:f>'1'!$AC$72:$AC$87</c:f>
              <c:numCache>
                <c:formatCode>General</c:formatCode>
                <c:ptCount val="16"/>
                <c:pt idx="0">
                  <c:v>0</c:v>
                </c:pt>
                <c:pt idx="1">
                  <c:v>-80</c:v>
                </c:pt>
                <c:pt idx="2">
                  <c:v>-80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-80</c:v>
                </c:pt>
                <c:pt idx="7">
                  <c:v>-80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</c:numCache>
            </c:numRef>
          </c:yVal>
        </c:ser>
        <c:axId val="166492800"/>
        <c:axId val="166515072"/>
      </c:scatterChart>
      <c:valAx>
        <c:axId val="166492800"/>
        <c:scaling>
          <c:orientation val="minMax"/>
          <c:max val="100"/>
          <c:min val="-100"/>
        </c:scaling>
        <c:delete val="1"/>
        <c:axPos val="b"/>
        <c:numFmt formatCode="General" sourceLinked="1"/>
        <c:tickLblPos val="none"/>
        <c:crossAx val="166515072"/>
        <c:crosses val="autoZero"/>
        <c:crossBetween val="midCat"/>
      </c:valAx>
      <c:valAx>
        <c:axId val="166515072"/>
        <c:scaling>
          <c:orientation val="minMax"/>
          <c:max val="100"/>
          <c:min val="-100"/>
        </c:scaling>
        <c:delete val="1"/>
        <c:axPos val="l"/>
        <c:numFmt formatCode="General" sourceLinked="1"/>
        <c:tickLblPos val="none"/>
        <c:crossAx val="166492800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B$9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checked="Checked" firstButton="1" fmlaLink="$B$8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121262</xdr:colOff>
      <xdr:row>6</xdr:row>
      <xdr:rowOff>55396</xdr:rowOff>
    </xdr:from>
    <xdr:ext cx="1309219" cy="354180"/>
    <xdr:sp macro="[0]!Reset" textlink="">
      <xdr:nvSpPr>
        <xdr:cNvPr id="4" name="Rounded Rectangle 3"/>
        <xdr:cNvSpPr/>
      </xdr:nvSpPr>
      <xdr:spPr>
        <a:xfrm>
          <a:off x="121262" y="1493671"/>
          <a:ext cx="1309219" cy="354180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AU" sz="24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12</xdr:col>
      <xdr:colOff>92309</xdr:colOff>
      <xdr:row>16</xdr:row>
      <xdr:rowOff>114300</xdr:rowOff>
    </xdr:from>
    <xdr:to>
      <xdr:col>16</xdr:col>
      <xdr:colOff>418185</xdr:colOff>
      <xdr:row>20</xdr:row>
      <xdr:rowOff>78883</xdr:rowOff>
    </xdr:to>
    <xdr:grpSp>
      <xdr:nvGrpSpPr>
        <xdr:cNvPr id="21" name="Group 20"/>
        <xdr:cNvGrpSpPr/>
      </xdr:nvGrpSpPr>
      <xdr:grpSpPr>
        <a:xfrm>
          <a:off x="6815838" y="4025153"/>
          <a:ext cx="2656700" cy="547289"/>
          <a:chOff x="6815838" y="3876877"/>
          <a:chExt cx="3580928" cy="827301"/>
        </a:xfrm>
      </xdr:grpSpPr>
      <xdr:pic macro="[0]!Earth">
        <xdr:nvPicPr>
          <xdr:cNvPr id="9" name="Picture 8" descr="Apply the Earths Gravity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7461469" y="3886776"/>
            <a:ext cx="545253" cy="463418"/>
          </a:xfrm>
          <a:prstGeom prst="rect">
            <a:avLst/>
          </a:prstGeom>
        </xdr:spPr>
      </xdr:pic>
      <xdr:pic macro="[0]!Moon">
        <xdr:nvPicPr>
          <xdr:cNvPr id="10" name="Picture 9" descr="Apply the Moon's Gravity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6815838" y="3876877"/>
            <a:ext cx="556423" cy="483213"/>
          </a:xfrm>
          <a:prstGeom prst="rect">
            <a:avLst/>
          </a:prstGeom>
        </xdr:spPr>
      </xdr:pic>
      <xdr:pic macro="[0]!Sun">
        <xdr:nvPicPr>
          <xdr:cNvPr id="11" name="Picture 10" descr="Apply the Suns Gravity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8757314" y="3885380"/>
            <a:ext cx="535930" cy="466208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114300</xdr:colOff>
      <xdr:row>4</xdr:row>
      <xdr:rowOff>18160</xdr:rowOff>
    </xdr:from>
    <xdr:ext cx="2441864" cy="484955"/>
    <xdr:sp macro="[0]!Start_Stop" textlink="">
      <xdr:nvSpPr>
        <xdr:cNvPr id="22" name="Rounded Rectangle 21"/>
        <xdr:cNvSpPr/>
      </xdr:nvSpPr>
      <xdr:spPr>
        <a:xfrm>
          <a:off x="114300" y="913510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</xdr:col>
      <xdr:colOff>284513</xdr:colOff>
      <xdr:row>1</xdr:row>
      <xdr:rowOff>33618</xdr:rowOff>
    </xdr:from>
    <xdr:ext cx="8476295" cy="563552"/>
    <xdr:sp macro="" textlink="">
      <xdr:nvSpPr>
        <xdr:cNvPr id="8" name="Rectangle 7"/>
        <xdr:cNvSpPr/>
      </xdr:nvSpPr>
      <xdr:spPr>
        <a:xfrm>
          <a:off x="878425" y="179294"/>
          <a:ext cx="8476295" cy="5635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3600" b="1">
              <a:solidFill>
                <a:srgbClr val="0000FF"/>
              </a:solidFill>
            </a:rPr>
            <a:t>Dynamically Defined 3D Dancing Pendulums</a:t>
          </a:r>
        </a:p>
      </xdr:txBody>
    </xdr:sp>
    <xdr:clientData/>
  </xdr:oneCellAnchor>
  <xdr:twoCellAnchor>
    <xdr:from>
      <xdr:col>0</xdr:col>
      <xdr:colOff>96734</xdr:colOff>
      <xdr:row>10</xdr:row>
      <xdr:rowOff>28575</xdr:rowOff>
    </xdr:from>
    <xdr:to>
      <xdr:col>11</xdr:col>
      <xdr:colOff>461035</xdr:colOff>
      <xdr:row>41</xdr:row>
      <xdr:rowOff>19668</xdr:rowOff>
    </xdr:to>
    <xdr:graphicFrame macro="">
      <xdr:nvGraphicFramePr>
        <xdr:cNvPr id="14" name="Char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21853</xdr:colOff>
      <xdr:row>10</xdr:row>
      <xdr:rowOff>7924</xdr:rowOff>
    </xdr:from>
    <xdr:to>
      <xdr:col>18</xdr:col>
      <xdr:colOff>209550</xdr:colOff>
      <xdr:row>13</xdr:row>
      <xdr:rowOff>37840</xdr:rowOff>
    </xdr:to>
    <xdr:grpSp>
      <xdr:nvGrpSpPr>
        <xdr:cNvPr id="23" name="Group 22"/>
        <xdr:cNvGrpSpPr/>
      </xdr:nvGrpSpPr>
      <xdr:grpSpPr>
        <a:xfrm>
          <a:off x="9614088" y="2439600"/>
          <a:ext cx="725580" cy="1072064"/>
          <a:chOff x="9434794" y="2439600"/>
          <a:chExt cx="725580" cy="1072064"/>
        </a:xfrm>
      </xdr:grpSpPr>
      <xdr:sp macro="[0]!Sheet1.Top" textlink="">
        <xdr:nvSpPr>
          <xdr:cNvPr id="15" name="Rounded Rectangle 14"/>
          <xdr:cNvSpPr/>
        </xdr:nvSpPr>
        <xdr:spPr>
          <a:xfrm>
            <a:off x="9434794" y="243960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Top</a:t>
            </a:r>
          </a:p>
        </xdr:txBody>
      </xdr:sp>
      <xdr:sp macro="[0]!Sheet1.Side" textlink="">
        <xdr:nvSpPr>
          <xdr:cNvPr id="16" name="Rounded Rectangle 15"/>
          <xdr:cNvSpPr/>
        </xdr:nvSpPr>
        <xdr:spPr>
          <a:xfrm>
            <a:off x="9434794" y="301054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Side</a:t>
            </a:r>
          </a:p>
        </xdr:txBody>
      </xdr:sp>
      <xdr:sp macro="[0]!Sheet1.Front" textlink="">
        <xdr:nvSpPr>
          <xdr:cNvPr id="17" name="Rounded Rectangle 16"/>
          <xdr:cNvSpPr/>
        </xdr:nvSpPr>
        <xdr:spPr>
          <a:xfrm>
            <a:off x="9434794" y="2725071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Front</a:t>
            </a:r>
          </a:p>
        </xdr:txBody>
      </xdr:sp>
      <xdr:sp macro="[0]!Sheet1.Perspective" textlink="">
        <xdr:nvSpPr>
          <xdr:cNvPr id="19" name="Rounded Rectangle 18"/>
          <xdr:cNvSpPr/>
        </xdr:nvSpPr>
        <xdr:spPr>
          <a:xfrm>
            <a:off x="9446000" y="3290688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100" b="1">
                <a:solidFill>
                  <a:srgbClr val="FF0000"/>
                </a:solidFill>
              </a:rPr>
              <a:t>Perspective</a:t>
            </a:r>
            <a:endParaRPr lang="en-AU" sz="1600" b="1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4.xml"/><Relationship Id="rId2" Type="http://schemas.openxmlformats.org/officeDocument/2006/relationships/hyperlink" Target="http://newtonexcelbach.wordpress.com/2011/05/30/dynamically-defined-dancing-pendulums/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://www.andypope.info/charts/3drotate.htm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2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19" Type="http://schemas.openxmlformats.org/officeDocument/2006/relationships/ctrlProp" Target="../ctrlProps/ctrlProp8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557"/>
  <sheetViews>
    <sheetView tabSelected="1" zoomScale="85" zoomScaleNormal="85" workbookViewId="0">
      <selection activeCell="N15" sqref="N15"/>
    </sheetView>
  </sheetViews>
  <sheetFormatPr defaultRowHeight="11.25"/>
  <cols>
    <col min="1" max="1" width="10.33203125" customWidth="1"/>
    <col min="2" max="2" width="9" customWidth="1"/>
    <col min="3" max="3" width="13.5" customWidth="1"/>
    <col min="4" max="4" width="9.33203125" customWidth="1"/>
    <col min="13" max="13" width="12.5" customWidth="1"/>
    <col min="16" max="16" width="9.33203125" customWidth="1"/>
    <col min="22" max="22" width="46.5" customWidth="1"/>
    <col min="23" max="23" width="65.6640625" customWidth="1"/>
    <col min="27" max="27" width="12.83203125" bestFit="1" customWidth="1"/>
    <col min="43" max="43" width="165.6640625" customWidth="1"/>
  </cols>
  <sheetData>
    <row r="1" spans="1:49" ht="11.25" customHeight="1" thickBot="1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" thickTop="1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30"/>
      <c r="P2" s="30"/>
      <c r="Q2" s="30"/>
      <c r="R2" s="30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3.25">
      <c r="A3" s="32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1"/>
      <c r="U3" s="1"/>
      <c r="V3" s="1"/>
      <c r="W3" s="1"/>
      <c r="X3" s="1"/>
      <c r="Y3" s="1"/>
      <c r="Z3" s="1"/>
      <c r="AA3" s="56" t="s">
        <v>16</v>
      </c>
      <c r="AB3" s="53">
        <v>0.02</v>
      </c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s="17" customFormat="1" ht="12.75">
      <c r="A4" s="36"/>
      <c r="B4" s="37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  <c r="R4" s="38"/>
      <c r="S4" s="40"/>
      <c r="T4" s="15"/>
      <c r="U4" s="15"/>
      <c r="V4" s="15"/>
      <c r="W4" s="16"/>
      <c r="X4" s="16"/>
      <c r="Y4" s="16"/>
      <c r="Z4" s="16"/>
      <c r="AA4" s="57" t="s">
        <v>17</v>
      </c>
      <c r="AB4" s="54">
        <v>15</v>
      </c>
      <c r="AC4" s="16"/>
      <c r="AD4" s="16"/>
      <c r="AE4" s="16"/>
      <c r="AF4" s="16"/>
      <c r="AG4" s="1"/>
      <c r="AH4" s="1"/>
      <c r="AI4" s="1"/>
      <c r="AJ4" s="1"/>
      <c r="AK4" s="1"/>
      <c r="AL4" s="1"/>
      <c r="AM4" s="1"/>
      <c r="AN4" s="1"/>
      <c r="AO4" s="16"/>
      <c r="AP4" s="16"/>
      <c r="AQ4" s="16"/>
      <c r="AR4" s="16"/>
      <c r="AS4" s="16"/>
      <c r="AT4" s="16"/>
      <c r="AU4" s="16"/>
      <c r="AV4" s="16"/>
      <c r="AW4" s="16"/>
    </row>
    <row r="5" spans="1:49" ht="21">
      <c r="A5" s="41"/>
      <c r="B5" s="37"/>
      <c r="C5" s="38"/>
      <c r="D5" s="38"/>
      <c r="E5" s="34"/>
      <c r="F5" s="38"/>
      <c r="G5" s="42" t="s">
        <v>6</v>
      </c>
      <c r="H5" s="18">
        <v>0.02</v>
      </c>
      <c r="I5" s="43" t="s">
        <v>8</v>
      </c>
      <c r="J5" s="38"/>
      <c r="K5" s="38"/>
      <c r="L5" s="34"/>
      <c r="M5" s="34"/>
      <c r="N5" s="38"/>
      <c r="O5" s="42" t="s">
        <v>12</v>
      </c>
      <c r="P5" s="58" t="s">
        <v>13</v>
      </c>
      <c r="Q5" s="34"/>
      <c r="R5" s="34"/>
      <c r="S5" s="35"/>
      <c r="T5" s="1"/>
      <c r="U5" s="1"/>
      <c r="V5" s="1"/>
      <c r="W5" s="1"/>
      <c r="X5" s="1"/>
      <c r="Y5" s="1"/>
      <c r="Z5" s="1"/>
      <c r="AA5" s="56" t="s">
        <v>1</v>
      </c>
      <c r="AB5" s="54">
        <v>981.42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>
      <c r="A6" s="41"/>
      <c r="B6" s="37"/>
      <c r="C6" s="38"/>
      <c r="D6" s="38"/>
      <c r="E6" s="34"/>
      <c r="F6" s="38"/>
      <c r="G6" s="42" t="s">
        <v>3</v>
      </c>
      <c r="H6" s="19">
        <v>35</v>
      </c>
      <c r="I6" s="43" t="s">
        <v>2</v>
      </c>
      <c r="J6" s="38"/>
      <c r="K6" s="38"/>
      <c r="L6" s="34"/>
      <c r="M6" s="34"/>
      <c r="N6" s="38"/>
      <c r="O6" s="42" t="s">
        <v>7</v>
      </c>
      <c r="P6" s="44" t="s">
        <v>11</v>
      </c>
      <c r="Q6" s="34"/>
      <c r="R6" s="34"/>
      <c r="S6" s="35"/>
      <c r="T6" s="1"/>
      <c r="U6" s="1"/>
      <c r="V6" s="1"/>
      <c r="W6" s="1"/>
      <c r="X6" s="1"/>
      <c r="Y6" s="1"/>
      <c r="Z6" s="1"/>
      <c r="AA6" s="56"/>
      <c r="AB6" s="54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3.25">
      <c r="A7" s="41"/>
      <c r="B7" s="37"/>
      <c r="C7" s="38"/>
      <c r="D7" s="38"/>
      <c r="E7" s="34"/>
      <c r="F7" s="38"/>
      <c r="G7" s="42" t="s">
        <v>1</v>
      </c>
      <c r="H7" s="19">
        <f>AB5</f>
        <v>981.42</v>
      </c>
      <c r="I7" s="43" t="s">
        <v>24</v>
      </c>
      <c r="J7" s="38"/>
      <c r="K7" s="38"/>
      <c r="L7" s="34"/>
      <c r="M7" s="34"/>
      <c r="N7" s="38"/>
      <c r="O7" s="42" t="s">
        <v>22</v>
      </c>
      <c r="P7" s="44" t="s">
        <v>23</v>
      </c>
      <c r="Q7" s="34"/>
      <c r="R7" s="34"/>
      <c r="S7" s="35"/>
      <c r="T7" s="1"/>
      <c r="U7" s="1"/>
      <c r="V7" s="1"/>
      <c r="W7" s="1"/>
      <c r="X7" s="1"/>
      <c r="Y7" s="1"/>
      <c r="Z7" s="1"/>
      <c r="AA7" s="56" t="s">
        <v>18</v>
      </c>
      <c r="AB7" s="54" t="b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>
      <c r="A8" s="41"/>
      <c r="B8" s="37"/>
      <c r="C8" s="38"/>
      <c r="D8" s="38"/>
      <c r="E8" s="34"/>
      <c r="F8" s="38"/>
      <c r="G8" s="42" t="s">
        <v>14</v>
      </c>
      <c r="H8" s="20">
        <v>10</v>
      </c>
      <c r="I8" s="43" t="s">
        <v>15</v>
      </c>
      <c r="J8" s="38"/>
      <c r="K8" s="38"/>
      <c r="L8" s="34"/>
      <c r="M8" s="34"/>
      <c r="N8" s="34"/>
      <c r="O8" s="34"/>
      <c r="P8" s="34"/>
      <c r="Q8" s="34"/>
      <c r="R8" s="34"/>
      <c r="S8" s="35"/>
      <c r="T8" s="1"/>
      <c r="U8" s="1"/>
      <c r="V8" s="1"/>
      <c r="W8" s="1"/>
      <c r="X8" s="1"/>
      <c r="Y8" s="1"/>
      <c r="Z8" s="1"/>
      <c r="AA8" s="56" t="s">
        <v>9</v>
      </c>
      <c r="AB8" s="54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3.25">
      <c r="A9" s="32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5"/>
      <c r="T9" s="1"/>
      <c r="U9" s="1"/>
      <c r="V9" s="1"/>
      <c r="W9" s="1"/>
      <c r="X9" s="1"/>
      <c r="Y9" s="1"/>
      <c r="Z9" s="1"/>
      <c r="AA9" s="56" t="s">
        <v>10</v>
      </c>
      <c r="AB9" s="55">
        <v>1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>
      <c r="A10" s="41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1"/>
      <c r="U10" s="1"/>
      <c r="V10" s="1"/>
      <c r="W10" s="1"/>
      <c r="X10" s="1"/>
      <c r="Y10" s="1"/>
      <c r="Z10" s="1"/>
      <c r="AA10" s="1" t="s">
        <v>31</v>
      </c>
      <c r="AB10" s="1" t="b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7.75" customHeight="1">
      <c r="A11" s="41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45" t="s">
        <v>19</v>
      </c>
      <c r="N11" s="21">
        <v>0</v>
      </c>
      <c r="O11" s="34"/>
      <c r="P11" s="34"/>
      <c r="Q11" s="34"/>
      <c r="R11" s="34"/>
      <c r="S11" s="35"/>
      <c r="T11" s="1"/>
      <c r="U11" s="1"/>
      <c r="V11" s="1"/>
      <c r="W11" s="1"/>
      <c r="X11" s="1"/>
      <c r="Y11" s="1"/>
      <c r="Z11" s="1"/>
      <c r="AA11" s="1" t="s">
        <v>32</v>
      </c>
      <c r="AB11" s="1" t="b">
        <v>1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7.75" customHeight="1">
      <c r="A12" s="41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45" t="s">
        <v>20</v>
      </c>
      <c r="N12" s="22">
        <v>0</v>
      </c>
      <c r="O12" s="34"/>
      <c r="P12" s="34"/>
      <c r="Q12" s="34"/>
      <c r="R12" s="34"/>
      <c r="S12" s="35"/>
      <c r="T12" s="1"/>
      <c r="U12" s="1"/>
      <c r="V12" s="1"/>
      <c r="W12" s="1"/>
      <c r="X12" s="1"/>
      <c r="Y12" s="1"/>
      <c r="Z12" s="1"/>
      <c r="AA12" s="5" t="s">
        <v>0</v>
      </c>
      <c r="AB12" s="6" t="s">
        <v>4</v>
      </c>
      <c r="AC12" s="5" t="s">
        <v>5</v>
      </c>
      <c r="AD12" s="1"/>
      <c r="AE12" s="1"/>
      <c r="AF12" s="14"/>
      <c r="AG12" s="1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7.75" customHeight="1">
      <c r="A13" s="41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45" t="s">
        <v>21</v>
      </c>
      <c r="N13" s="23">
        <v>0</v>
      </c>
      <c r="O13" s="34"/>
      <c r="P13" s="34"/>
      <c r="Q13" s="34"/>
      <c r="R13" s="34"/>
      <c r="S13" s="35"/>
      <c r="T13" s="1"/>
      <c r="U13" s="1"/>
      <c r="V13" s="1"/>
      <c r="W13" s="1"/>
      <c r="X13" s="1"/>
      <c r="Y13" s="1"/>
      <c r="Z13" s="1"/>
      <c r="AA13" s="3">
        <v>1</v>
      </c>
      <c r="AB13" s="4">
        <v>60</v>
      </c>
      <c r="AC13" s="10">
        <v>31</v>
      </c>
      <c r="AD13" s="1"/>
      <c r="AE13" s="1"/>
      <c r="AF13" s="14"/>
      <c r="AG13" s="1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>
      <c r="A14" s="41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5"/>
      <c r="T14" s="1"/>
      <c r="U14" s="1"/>
      <c r="V14" s="1"/>
      <c r="W14" s="1"/>
      <c r="X14" s="1"/>
      <c r="Y14" s="1"/>
      <c r="Z14" s="1"/>
      <c r="AA14" s="3">
        <v>2</v>
      </c>
      <c r="AB14" s="4">
        <f t="shared" ref="AB14:AB28" si="0">$AB$13*($AC$13/AC14)^2</f>
        <v>52.947658402203864</v>
      </c>
      <c r="AC14" s="11">
        <v>33</v>
      </c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>
      <c r="A15" s="41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5"/>
      <c r="T15" s="1"/>
      <c r="U15" s="1"/>
      <c r="V15" s="1"/>
      <c r="W15" s="1"/>
      <c r="X15" s="1"/>
      <c r="Y15" s="1"/>
      <c r="Z15" s="1"/>
      <c r="AA15" s="3">
        <v>3</v>
      </c>
      <c r="AB15" s="4">
        <f t="shared" si="0"/>
        <v>47.069387755102042</v>
      </c>
      <c r="AC15" s="3">
        <f t="shared" ref="AC15:AC28" si="1">+AC14+($AC$14-$AC$13)</f>
        <v>35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>
      <c r="A16" s="41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5"/>
      <c r="T16" s="1"/>
      <c r="U16" s="1"/>
      <c r="V16" s="1"/>
      <c r="W16" s="1"/>
      <c r="X16" s="1"/>
      <c r="Y16" s="1"/>
      <c r="Z16" s="1"/>
      <c r="AA16" s="3">
        <v>4</v>
      </c>
      <c r="AB16" s="4">
        <f t="shared" si="0"/>
        <v>42.118334550766981</v>
      </c>
      <c r="AC16" s="3">
        <f t="shared" si="1"/>
        <v>37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>
      <c r="A17" s="41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  <c r="T17" s="1"/>
      <c r="U17" s="1"/>
      <c r="V17" s="1"/>
      <c r="W17" s="1"/>
      <c r="X17" s="1"/>
      <c r="Y17" s="1"/>
      <c r="Z17" s="1"/>
      <c r="AA17" s="3">
        <v>5</v>
      </c>
      <c r="AB17" s="4">
        <f t="shared" si="0"/>
        <v>37.909270216962518</v>
      </c>
      <c r="AC17" s="3">
        <f t="shared" si="1"/>
        <v>39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>
      <c r="A18" s="41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5"/>
      <c r="T18" s="1"/>
      <c r="U18" s="1"/>
      <c r="V18" s="1"/>
      <c r="W18" s="1"/>
      <c r="X18" s="1"/>
      <c r="Y18" s="1"/>
      <c r="Z18" s="1"/>
      <c r="AA18" s="3">
        <v>6</v>
      </c>
      <c r="AB18" s="4">
        <f t="shared" si="0"/>
        <v>34.301011302795956</v>
      </c>
      <c r="AC18" s="3">
        <f t="shared" si="1"/>
        <v>41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>
      <c r="A19" s="41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5"/>
      <c r="T19" s="1"/>
      <c r="U19" s="1"/>
      <c r="V19" s="1"/>
      <c r="W19" s="1"/>
      <c r="X19" s="1"/>
      <c r="Y19" s="1"/>
      <c r="Z19" s="1"/>
      <c r="AA19" s="3">
        <v>7</v>
      </c>
      <c r="AB19" s="4">
        <f t="shared" si="0"/>
        <v>31.184424012979981</v>
      </c>
      <c r="AC19" s="3">
        <f t="shared" si="1"/>
        <v>43</v>
      </c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>
      <c r="A20" s="41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5"/>
      <c r="T20" s="1"/>
      <c r="U20" s="1"/>
      <c r="V20" s="1"/>
      <c r="W20" s="1"/>
      <c r="X20" s="1"/>
      <c r="Y20" s="1"/>
      <c r="Z20" s="1"/>
      <c r="AA20" s="3">
        <v>8</v>
      </c>
      <c r="AB20" s="4">
        <f t="shared" si="0"/>
        <v>28.474074074074071</v>
      </c>
      <c r="AC20" s="3">
        <f t="shared" si="1"/>
        <v>45</v>
      </c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>
      <c r="A21" s="41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5"/>
      <c r="T21" s="1"/>
      <c r="U21" s="1"/>
      <c r="V21" s="1"/>
      <c r="W21" s="1"/>
      <c r="X21" s="1"/>
      <c r="Y21" s="1"/>
      <c r="Z21" s="1"/>
      <c r="AA21" s="3">
        <v>9</v>
      </c>
      <c r="AB21" s="4">
        <f t="shared" si="0"/>
        <v>26.102308736985059</v>
      </c>
      <c r="AC21" s="3">
        <f t="shared" si="1"/>
        <v>47</v>
      </c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>
      <c r="A22" s="41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5"/>
      <c r="T22" s="1"/>
      <c r="U22" s="1"/>
      <c r="V22" s="1"/>
      <c r="W22" s="1"/>
      <c r="X22" s="1"/>
      <c r="Y22" s="1"/>
      <c r="Z22" s="1"/>
      <c r="AA22" s="25">
        <v>10</v>
      </c>
      <c r="AB22" s="26">
        <f t="shared" si="0"/>
        <v>24.014993752603083</v>
      </c>
      <c r="AC22" s="25">
        <f t="shared" si="1"/>
        <v>49</v>
      </c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>
      <c r="A23" s="41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5"/>
      <c r="T23" s="1"/>
      <c r="U23" s="1"/>
      <c r="V23" s="1"/>
      <c r="W23" s="1"/>
      <c r="X23" s="1"/>
      <c r="Y23" s="1"/>
      <c r="Z23" s="1"/>
      <c r="AA23" s="3">
        <v>11</v>
      </c>
      <c r="AB23" s="4">
        <f t="shared" si="0"/>
        <v>22.168396770472889</v>
      </c>
      <c r="AC23" s="3">
        <f t="shared" si="1"/>
        <v>51</v>
      </c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>
      <c r="A24" s="41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5"/>
      <c r="T24" s="1"/>
      <c r="U24" s="1"/>
      <c r="V24" s="1"/>
      <c r="W24" s="1"/>
      <c r="X24" s="1"/>
      <c r="Y24" s="1"/>
      <c r="Z24" s="1"/>
      <c r="AA24" s="3">
        <v>12</v>
      </c>
      <c r="AB24" s="4">
        <f t="shared" si="0"/>
        <v>20.526877892488429</v>
      </c>
      <c r="AC24" s="3">
        <f t="shared" si="1"/>
        <v>53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>
      <c r="A25" s="41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5"/>
      <c r="T25" s="1"/>
      <c r="U25" s="1"/>
      <c r="V25" s="1"/>
      <c r="W25" s="1"/>
      <c r="X25" s="1"/>
      <c r="Y25" s="1"/>
      <c r="Z25" s="1"/>
      <c r="AA25" s="3">
        <v>13</v>
      </c>
      <c r="AB25" s="4">
        <f t="shared" si="0"/>
        <v>19.061157024793388</v>
      </c>
      <c r="AC25" s="3">
        <f t="shared" si="1"/>
        <v>55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>
      <c r="A26" s="41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5"/>
      <c r="T26" s="1"/>
      <c r="U26" s="1"/>
      <c r="V26" s="1"/>
      <c r="W26" s="1"/>
      <c r="X26" s="1"/>
      <c r="Y26" s="1"/>
      <c r="Z26" s="1"/>
      <c r="AA26" s="3">
        <v>14</v>
      </c>
      <c r="AB26" s="4">
        <f t="shared" si="0"/>
        <v>17.746999076638968</v>
      </c>
      <c r="AC26" s="3">
        <f t="shared" si="1"/>
        <v>57</v>
      </c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>
      <c r="A27" s="41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5"/>
      <c r="T27" s="1"/>
      <c r="U27" s="1"/>
      <c r="V27" s="1"/>
      <c r="W27" s="1"/>
      <c r="X27" s="1"/>
      <c r="Y27" s="1"/>
      <c r="Z27" s="1"/>
      <c r="AA27" s="3">
        <v>15</v>
      </c>
      <c r="AB27" s="4">
        <f t="shared" si="0"/>
        <v>16.564205688020685</v>
      </c>
      <c r="AC27" s="3">
        <f t="shared" si="1"/>
        <v>59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s="27" customFormat="1" ht="14.25" customHeight="1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47"/>
      <c r="S28" s="49"/>
      <c r="T28" s="24"/>
      <c r="U28" s="24"/>
      <c r="V28" s="24"/>
      <c r="W28" s="24"/>
      <c r="X28" s="24"/>
      <c r="Y28" s="24"/>
      <c r="Z28" s="24"/>
      <c r="AA28" s="3">
        <v>16</v>
      </c>
      <c r="AB28" s="4">
        <f t="shared" si="0"/>
        <v>15.495834453104004</v>
      </c>
      <c r="AC28" s="3">
        <f t="shared" si="1"/>
        <v>61</v>
      </c>
      <c r="AD28" s="1"/>
      <c r="AE28" s="24"/>
      <c r="AF28" s="24"/>
      <c r="AG28" s="24"/>
      <c r="AH28" s="24"/>
      <c r="AI28" s="24"/>
      <c r="AJ28" s="24"/>
      <c r="AK28" s="24"/>
      <c r="AL28" s="1"/>
      <c r="AM28" s="1"/>
      <c r="AN28" s="1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>
      <c r="A29" s="41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5"/>
      <c r="T29" s="1"/>
      <c r="U29" s="1"/>
      <c r="V29" s="1"/>
      <c r="W29" s="1"/>
      <c r="X29" s="1"/>
      <c r="Y29" s="1"/>
      <c r="Z29" s="1"/>
      <c r="AA29" s="24"/>
      <c r="AB29" s="24"/>
      <c r="AC29" s="24"/>
      <c r="AD29" s="24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>
      <c r="A30" s="41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5"/>
      <c r="T30" s="1"/>
      <c r="U30" s="1"/>
      <c r="V30" s="1"/>
      <c r="W30" s="1"/>
      <c r="X30" s="1"/>
      <c r="Y30" s="1"/>
      <c r="Z30" s="1"/>
      <c r="AA30" s="2" t="s">
        <v>30</v>
      </c>
      <c r="AB30" s="59">
        <v>50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>
      <c r="A31" s="41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5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>
      <c r="A32" s="41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5"/>
      <c r="T32" s="1"/>
      <c r="U32" s="1"/>
      <c r="V32" s="1"/>
      <c r="W32" s="1"/>
      <c r="X32" s="1"/>
      <c r="Y32" s="1"/>
      <c r="Z32" s="1"/>
      <c r="AA32" s="2" t="s">
        <v>25</v>
      </c>
      <c r="AB32" s="60" t="s">
        <v>26</v>
      </c>
      <c r="AC32" s="60" t="s">
        <v>27</v>
      </c>
      <c r="AD32" s="60" t="s">
        <v>28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>
      <c r="A33" s="41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5"/>
      <c r="T33" s="1"/>
      <c r="U33" s="1"/>
      <c r="V33" s="1"/>
      <c r="W33" s="1"/>
      <c r="X33" s="1"/>
      <c r="Y33" s="1"/>
      <c r="Z33" s="1"/>
      <c r="AA33" s="1"/>
      <c r="AB33" s="69">
        <f>-Grid</f>
        <v>-50</v>
      </c>
      <c r="AC33" s="70">
        <v>0</v>
      </c>
      <c r="AD33" s="71">
        <v>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>
      <c r="A34" s="41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5"/>
      <c r="T34" s="1"/>
      <c r="U34" s="1"/>
      <c r="V34" s="1"/>
      <c r="W34" s="1"/>
      <c r="X34" s="1"/>
      <c r="Y34" s="1"/>
      <c r="Z34" s="1"/>
      <c r="AA34" s="1"/>
      <c r="AB34" s="72">
        <f>+Grid</f>
        <v>50</v>
      </c>
      <c r="AC34" s="73">
        <v>0</v>
      </c>
      <c r="AD34" s="74">
        <v>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>
      <c r="A35" s="41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5"/>
      <c r="T35" s="1"/>
      <c r="U35" s="1"/>
      <c r="V35" s="1"/>
      <c r="W35" s="1"/>
      <c r="X35" s="1"/>
      <c r="Y35" s="1"/>
      <c r="Z35" s="1"/>
      <c r="AA35" s="1"/>
      <c r="AB35" s="72"/>
      <c r="AC35" s="73"/>
      <c r="AD35" s="74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>
      <c r="A36" s="41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5"/>
      <c r="T36" s="1"/>
      <c r="U36" s="1"/>
      <c r="V36" s="1"/>
      <c r="W36" s="1"/>
      <c r="X36" s="1"/>
      <c r="Y36" s="1"/>
      <c r="Z36" s="1"/>
      <c r="AA36" s="1"/>
      <c r="AB36" s="72">
        <v>0</v>
      </c>
      <c r="AC36" s="73">
        <f>-Grid</f>
        <v>-50</v>
      </c>
      <c r="AD36" s="74">
        <v>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>
      <c r="A37" s="41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5"/>
      <c r="T37" s="1"/>
      <c r="U37" s="1"/>
      <c r="V37" s="1"/>
      <c r="W37" s="1"/>
      <c r="X37" s="1"/>
      <c r="Y37" s="1"/>
      <c r="Z37" s="1"/>
      <c r="AA37" s="1"/>
      <c r="AB37" s="72">
        <v>0</v>
      </c>
      <c r="AC37" s="73">
        <f>+Grid</f>
        <v>50</v>
      </c>
      <c r="AD37" s="74">
        <v>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>
      <c r="A38" s="41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5"/>
      <c r="T38" s="1"/>
      <c r="U38" s="1"/>
      <c r="V38" s="1"/>
      <c r="W38" s="1"/>
      <c r="X38" s="1"/>
      <c r="Y38" s="1"/>
      <c r="Z38" s="1"/>
      <c r="AA38" s="1"/>
      <c r="AB38" s="72"/>
      <c r="AC38" s="73"/>
      <c r="AD38" s="74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>
      <c r="A39" s="41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5"/>
      <c r="T39" s="1"/>
      <c r="U39" s="1"/>
      <c r="V39" s="1"/>
      <c r="W39" s="1"/>
      <c r="X39" s="1"/>
      <c r="Y39" s="1"/>
      <c r="Z39" s="1"/>
      <c r="AA39" s="1"/>
      <c r="AB39" s="72">
        <v>0</v>
      </c>
      <c r="AC39" s="73">
        <v>0</v>
      </c>
      <c r="AD39" s="74">
        <f>-Grid</f>
        <v>-50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>
      <c r="A40" s="41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5"/>
      <c r="T40" s="1"/>
      <c r="U40" s="1"/>
      <c r="V40" s="1"/>
      <c r="W40" s="1"/>
      <c r="X40" s="1"/>
      <c r="Y40" s="1"/>
      <c r="Z40" s="1"/>
      <c r="AA40" s="1"/>
      <c r="AB40" s="75">
        <v>0</v>
      </c>
      <c r="AC40" s="76">
        <v>0</v>
      </c>
      <c r="AD40" s="77">
        <f>+Grid</f>
        <v>50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>
      <c r="A41" s="41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5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2" thickBot="1">
      <c r="A42" s="50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2"/>
      <c r="T42" s="1"/>
      <c r="U42" s="1"/>
      <c r="V42" s="1"/>
      <c r="W42" s="1"/>
      <c r="X42" s="1"/>
      <c r="Y42" s="1"/>
      <c r="Z42" s="1"/>
      <c r="AA42" s="1"/>
      <c r="AB42" s="61">
        <f t="shared" ref="AB42:AB49" si="2">(AB33*RM_X1)+(AC33*RM_Y1)+(AD33*RM_Z1)</f>
        <v>-50</v>
      </c>
      <c r="AC42" s="62">
        <f t="shared" ref="AC42:AC49" si="3">(AB33*RM_X2)+(AC33*RM_Y2)+(AD33*RM_Z2)</f>
        <v>0</v>
      </c>
      <c r="AD42" s="34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2" thickTop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63">
        <f t="shared" si="2"/>
        <v>50</v>
      </c>
      <c r="AC43" s="64">
        <f t="shared" si="3"/>
        <v>0</v>
      </c>
      <c r="AD43" s="34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63">
        <f t="shared" si="2"/>
        <v>0</v>
      </c>
      <c r="AC44" s="64">
        <f t="shared" si="3"/>
        <v>0</v>
      </c>
      <c r="AD44" s="34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63">
        <f t="shared" si="2"/>
        <v>0</v>
      </c>
      <c r="AC45" s="64">
        <f t="shared" si="3"/>
        <v>-50</v>
      </c>
      <c r="AD45" s="34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63">
        <f t="shared" si="2"/>
        <v>0</v>
      </c>
      <c r="AC46" s="64">
        <f t="shared" si="3"/>
        <v>50</v>
      </c>
      <c r="AD46" s="34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63">
        <f t="shared" si="2"/>
        <v>0</v>
      </c>
      <c r="AC47" s="64">
        <f t="shared" si="3"/>
        <v>0</v>
      </c>
      <c r="AD47" s="34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63">
        <f t="shared" si="2"/>
        <v>0</v>
      </c>
      <c r="AC48" s="64">
        <f t="shared" si="3"/>
        <v>0</v>
      </c>
      <c r="AD48" s="34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65">
        <f t="shared" si="2"/>
        <v>0</v>
      </c>
      <c r="AC49" s="67">
        <f t="shared" si="3"/>
        <v>0</v>
      </c>
      <c r="AD49" s="34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68" t="s">
        <v>29</v>
      </c>
      <c r="AB51" s="56" t="s">
        <v>26</v>
      </c>
      <c r="AC51" s="56" t="s">
        <v>27</v>
      </c>
      <c r="AD51" s="56" t="s">
        <v>28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34"/>
      <c r="AB52" s="69">
        <v>0</v>
      </c>
      <c r="AC52" s="70">
        <v>0</v>
      </c>
      <c r="AD52" s="71">
        <v>-90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34"/>
      <c r="AB53" s="72">
        <v>-40</v>
      </c>
      <c r="AC53" s="73">
        <v>-80</v>
      </c>
      <c r="AD53" s="74">
        <f>+AD52</f>
        <v>-90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34"/>
      <c r="AB54" s="72">
        <v>40</v>
      </c>
      <c r="AC54" s="73">
        <v>-80</v>
      </c>
      <c r="AD54" s="74">
        <f>+AD53</f>
        <v>-90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34"/>
      <c r="AB55" s="72">
        <v>0</v>
      </c>
      <c r="AC55" s="73">
        <v>0</v>
      </c>
      <c r="AD55" s="74">
        <f>+AD54</f>
        <v>-90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>
      <c r="A56" s="1"/>
      <c r="B56" s="1"/>
      <c r="C56" s="1"/>
      <c r="D56" s="1"/>
      <c r="E56" s="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34"/>
      <c r="AB56" s="72"/>
      <c r="AC56" s="73"/>
      <c r="AD56" s="74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34"/>
      <c r="AB57" s="72">
        <v>0</v>
      </c>
      <c r="AC57" s="73">
        <v>0</v>
      </c>
      <c r="AD57" s="74">
        <v>80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34"/>
      <c r="AB58" s="72">
        <v>-40</v>
      </c>
      <c r="AC58" s="73">
        <v>-80</v>
      </c>
      <c r="AD58" s="74">
        <f>+AD57</f>
        <v>80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34"/>
      <c r="AB59" s="72">
        <v>40</v>
      </c>
      <c r="AC59" s="73">
        <v>-80</v>
      </c>
      <c r="AD59" s="74">
        <f>+AD58</f>
        <v>80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34"/>
      <c r="AB60" s="72">
        <v>0</v>
      </c>
      <c r="AC60" s="73">
        <v>0</v>
      </c>
      <c r="AD60" s="74">
        <f>+AD59</f>
        <v>80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34"/>
      <c r="AB61" s="72"/>
      <c r="AC61" s="73"/>
      <c r="AD61" s="74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72">
        <v>0</v>
      </c>
      <c r="AC62" s="73">
        <v>0</v>
      </c>
      <c r="AD62" s="74">
        <v>-90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2">
        <v>0</v>
      </c>
      <c r="AC63" s="73">
        <v>0</v>
      </c>
      <c r="AD63" s="74">
        <v>80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72">
        <v>-40</v>
      </c>
      <c r="AC64" s="73">
        <v>-80</v>
      </c>
      <c r="AD64" s="74">
        <v>80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72">
        <v>-40</v>
      </c>
      <c r="AC65" s="73">
        <v>-80</v>
      </c>
      <c r="AD65" s="74">
        <v>-90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72">
        <v>40</v>
      </c>
      <c r="AC66" s="73">
        <v>-80</v>
      </c>
      <c r="AD66" s="74">
        <f>+AD65</f>
        <v>-90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72">
        <v>40</v>
      </c>
      <c r="AC67" s="73">
        <v>-80</v>
      </c>
      <c r="AD67" s="74">
        <v>80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63"/>
      <c r="AC68" s="34"/>
      <c r="AD68" s="64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63"/>
      <c r="AC69" s="34"/>
      <c r="AD69" s="64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65"/>
      <c r="AC70" s="66"/>
      <c r="AD70" s="67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61">
        <f t="shared" ref="AB72:AB90" si="4">(AB52*RM_X1)+(AC52*RM_Y1)+(AD52*RM_Z1)</f>
        <v>0</v>
      </c>
      <c r="AC72" s="62">
        <f t="shared" ref="AC72:AC90" si="5">(AB52*RM_X2)+(AC52*RM_Y2)+(AD52*RM_Z2)</f>
        <v>0</v>
      </c>
      <c r="AD72" s="34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63">
        <f t="shared" si="4"/>
        <v>-40</v>
      </c>
      <c r="AC73" s="64">
        <f t="shared" si="5"/>
        <v>-80</v>
      </c>
      <c r="AD73" s="34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63">
        <f t="shared" si="4"/>
        <v>40</v>
      </c>
      <c r="AC74" s="64">
        <f t="shared" si="5"/>
        <v>-80</v>
      </c>
      <c r="AD74" s="34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63">
        <f t="shared" si="4"/>
        <v>0</v>
      </c>
      <c r="AC75" s="64">
        <f t="shared" si="5"/>
        <v>0</v>
      </c>
      <c r="AD75" s="34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63">
        <f t="shared" si="4"/>
        <v>0</v>
      </c>
      <c r="AC76" s="64">
        <f t="shared" si="5"/>
        <v>0</v>
      </c>
      <c r="AD76" s="34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63">
        <f t="shared" si="4"/>
        <v>0</v>
      </c>
      <c r="AC77" s="64">
        <f t="shared" si="5"/>
        <v>0</v>
      </c>
      <c r="AD77" s="34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63">
        <f t="shared" si="4"/>
        <v>-40</v>
      </c>
      <c r="AC78" s="64">
        <f t="shared" si="5"/>
        <v>-80</v>
      </c>
      <c r="AD78" s="34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63">
        <f t="shared" si="4"/>
        <v>40</v>
      </c>
      <c r="AC79" s="64">
        <f t="shared" si="5"/>
        <v>-80</v>
      </c>
      <c r="AD79" s="34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63">
        <f t="shared" si="4"/>
        <v>0</v>
      </c>
      <c r="AC80" s="64">
        <f t="shared" si="5"/>
        <v>0</v>
      </c>
      <c r="AD80" s="34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63">
        <f t="shared" si="4"/>
        <v>0</v>
      </c>
      <c r="AC81" s="64">
        <f t="shared" si="5"/>
        <v>0</v>
      </c>
      <c r="AD81" s="34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63">
        <f t="shared" si="4"/>
        <v>0</v>
      </c>
      <c r="AC82" s="64">
        <f t="shared" si="5"/>
        <v>0</v>
      </c>
      <c r="AD82" s="34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63">
        <f t="shared" si="4"/>
        <v>0</v>
      </c>
      <c r="AC83" s="64">
        <f t="shared" si="5"/>
        <v>0</v>
      </c>
      <c r="AD83" s="34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63">
        <f t="shared" si="4"/>
        <v>-40</v>
      </c>
      <c r="AC84" s="64">
        <f t="shared" si="5"/>
        <v>-80</v>
      </c>
      <c r="AD84" s="34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63">
        <f t="shared" si="4"/>
        <v>-40</v>
      </c>
      <c r="AC85" s="64">
        <f t="shared" si="5"/>
        <v>-80</v>
      </c>
      <c r="AD85" s="34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63">
        <f t="shared" si="4"/>
        <v>40</v>
      </c>
      <c r="AC86" s="64">
        <f t="shared" si="5"/>
        <v>-80</v>
      </c>
      <c r="AD86" s="34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63">
        <f t="shared" si="4"/>
        <v>40</v>
      </c>
      <c r="AC87" s="64">
        <f t="shared" si="5"/>
        <v>-80</v>
      </c>
      <c r="AD87" s="34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63">
        <f t="shared" si="4"/>
        <v>0</v>
      </c>
      <c r="AC88" s="64">
        <f t="shared" si="5"/>
        <v>0</v>
      </c>
      <c r="AD88" s="34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63">
        <f t="shared" si="4"/>
        <v>0</v>
      </c>
      <c r="AC89" s="64">
        <f t="shared" si="5"/>
        <v>0</v>
      </c>
      <c r="AD89" s="34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65">
        <f t="shared" si="4"/>
        <v>0</v>
      </c>
      <c r="AC90" s="67">
        <f t="shared" si="5"/>
        <v>0</v>
      </c>
      <c r="AD90" s="34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P7" r:id="rId1"/>
    <hyperlink ref="P6" r:id="rId2" display="Newtonexcelbach"/>
  </hyperlinks>
  <pageMargins left="0.7" right="0.7" top="0.75" bottom="0.75" header="0.3" footer="0.3"/>
  <pageSetup paperSize="9" orientation="portrait" verticalDpi="0" r:id="rId3"/>
  <drawing r:id="rId4"/>
  <legacyDrawing r:id="rId5"/>
  <controls>
    <control shapeId="1056" r:id="rId6" name="ScrollBar3"/>
    <control shapeId="1055" r:id="rId7" name="ScrollBar2"/>
    <control shapeId="1054" r:id="rId8" name="ScrollBar4"/>
    <control shapeId="1027" r:id="rId9" name="ScrollBar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1</vt:lpstr>
      <vt:lpstr>g</vt:lpstr>
      <vt:lpstr>Grid</vt:lpstr>
      <vt:lpstr>p10Len</vt:lpstr>
      <vt:lpstr>p11Len</vt:lpstr>
      <vt:lpstr>p12Len</vt:lpstr>
      <vt:lpstr>p13Len</vt:lpstr>
      <vt:lpstr>p14Len</vt:lpstr>
      <vt:lpstr>p15Len</vt:lpstr>
      <vt:lpstr>p16Len</vt:lpstr>
      <vt:lpstr>p1Len</vt:lpstr>
      <vt:lpstr>p2Len</vt:lpstr>
      <vt:lpstr>p3Len</vt:lpstr>
      <vt:lpstr>p4Len</vt:lpstr>
      <vt:lpstr>p5Len</vt:lpstr>
      <vt:lpstr>p6Len</vt:lpstr>
      <vt:lpstr>p7Len</vt:lpstr>
      <vt:lpstr>p8Len</vt:lpstr>
      <vt:lpstr>p9Len</vt:lpstr>
      <vt:lpstr>QQ</vt:lpstr>
      <vt:lpstr>ShowAxis</vt:lpstr>
      <vt:lpstr>ShowCage</vt:lpstr>
      <vt:lpstr>Spacing</vt:lpstr>
      <vt:lpstr>tinc</vt:lpstr>
      <vt:lpstr>XAngle</vt:lpstr>
      <vt:lpstr>YAngle</vt:lpstr>
      <vt:lpstr>ZAngle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Huitson</dc:creator>
  <cp:lastModifiedBy>Ian Huitson</cp:lastModifiedBy>
  <cp:lastPrinted>2011-06-02T00:46:54Z</cp:lastPrinted>
  <dcterms:created xsi:type="dcterms:W3CDTF">2011-05-31T00:44:18Z</dcterms:created>
  <dcterms:modified xsi:type="dcterms:W3CDTF">2011-07-04T08:08:08Z</dcterms:modified>
</cp:coreProperties>
</file>