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-1995" yWindow="60" windowWidth="20190" windowHeight="11055"/>
  </bookViews>
  <sheets>
    <sheet name="1" sheetId="1" r:id="rId1"/>
  </sheets>
  <definedNames>
    <definedName name="g">'1'!$H$7</definedName>
    <definedName name="Grid">'1'!$AB$30</definedName>
    <definedName name="OMax">'1'!$H$6*PI()/180</definedName>
    <definedName name="p10Len">'1'!$AB$22</definedName>
    <definedName name="p10x">p10Len*SIN(OMax*SIN(SQRT(g/p10Len)*t))*{0;1}</definedName>
    <definedName name="p10y">-p10Len*COS(OMax*SIN(SQRT(g/p10Len)*t))*{0;1}</definedName>
    <definedName name="p10z">1*Spacing*{1;1}</definedName>
    <definedName name="p11Len">'1'!$AB$23</definedName>
    <definedName name="p11x">p11Len*SIN(OMax*SIN(SQRT(g/p11Len)*t))*{0;1}</definedName>
    <definedName name="p11y">-p11Len*COS(OMax*SIN(SQRT(g/p11Len)*t))*{0;1}</definedName>
    <definedName name="p11z">2*Spacing*{1;1}</definedName>
    <definedName name="p12Len">'1'!$AB$24</definedName>
    <definedName name="p12x">p12Len*SIN(OMax*SIN(SQRT(g/p12Len)*t))*{0;1}</definedName>
    <definedName name="p12y">-p12Len*COS(OMax*SIN(SQRT(g/p12Len)*t))*{0;1}</definedName>
    <definedName name="p12z">3*Spacing*{1;1}</definedName>
    <definedName name="p13Len">'1'!$AB$25</definedName>
    <definedName name="p13x">p13Len*SIN(OMax*SIN(SQRT(g/p13Len)*t))*{0;1}</definedName>
    <definedName name="p13y">-p13Len*COS(OMax*SIN(SQRT(g/p13Len)*t))*{0;1}</definedName>
    <definedName name="p13z">4*Spacing*{1;1}</definedName>
    <definedName name="p14Len">'1'!$AB$26</definedName>
    <definedName name="p14x">p14Len*SIN(OMax*SIN(SQRT(g/p14Len)*t))*{0;1}</definedName>
    <definedName name="p14y">-p14Len*COS(OMax*SIN(SQRT(g/p14Len)*t))*{0;1}</definedName>
    <definedName name="p14z">5*Spacing*{1;1}</definedName>
    <definedName name="p15Len">'1'!$AB$27</definedName>
    <definedName name="p15x">p15Len*SIN(OMax*SIN(SQRT(g/p15Len)*t))*{0;1}</definedName>
    <definedName name="p15y">-p15Len*COS(OMax*SIN(SQRT(g/p15Len)*t))*{0;1}</definedName>
    <definedName name="p15z">6*Spacing*{1;1}</definedName>
    <definedName name="p16Len">'1'!$AB$28</definedName>
    <definedName name="p16x">p16Len*SIN(OMax*SIN(SQRT(g/p16Len)*t))*{0;1}</definedName>
    <definedName name="p16y">-p16Len*COS(OMax*SIN(SQRT(g/p16Len)*t))*{0;1}</definedName>
    <definedName name="p16z">7*Spacing*{1;1}</definedName>
    <definedName name="p1Len">'1'!$AB$13</definedName>
    <definedName name="p1x">p1Len*SIN(OMax*SIN(SQRT(g/p1Len)*t))*{0;1}</definedName>
    <definedName name="p1y">-p1Len*COS(OMax*SIN(SQRT(g/p1Len)*t))*{0;1}</definedName>
    <definedName name="p1z">-8*Spacing*{1;1}</definedName>
    <definedName name="p2Len">'1'!$AB$14</definedName>
    <definedName name="p2x">p2Len*SIN(OMax*SIN(SQRT(g/p2Len)*t))*{0;1}</definedName>
    <definedName name="p2y">-p2Len*COS(OMax*SIN(SQRT(g/p2Len)*t))*{0;1}</definedName>
    <definedName name="p2z">-7*Spacing*{1;1}</definedName>
    <definedName name="p3Len">'1'!$AB$15</definedName>
    <definedName name="p3x">p3Len*SIN(OMax*SIN(SQRT(g/p3Len)*t))*{0;1}</definedName>
    <definedName name="p3y">-p3Len*COS(OMax*SIN(SQRT(g/p3Len)*t))*{0;1}</definedName>
    <definedName name="p3z">-6*Spacing*{1;1}</definedName>
    <definedName name="p4Len">'1'!$AB$16</definedName>
    <definedName name="p4x">p4Len*SIN(OMax*SIN(SQRT(g/p4Len)*t))*{0;1}</definedName>
    <definedName name="p4y">-p4Len*COS(OMax*SIN(SQRT(g/p4Len)*t))*{0;1}</definedName>
    <definedName name="p4z">-5*Spacing*{1;1}</definedName>
    <definedName name="p5Len">'1'!$AB$17</definedName>
    <definedName name="p5x">p5Len*SIN(OMax*SIN(SQRT(g/p5Len)*t))*{0;1}</definedName>
    <definedName name="p5y">-p5Len*COS(OMax*SIN(SQRT(g/p5Len)*t))*{0;1}</definedName>
    <definedName name="p5z">-4*Spacing*{1;1}</definedName>
    <definedName name="p6Len">'1'!$AB$18</definedName>
    <definedName name="p6x">p6Len*SIN(OMax*SIN(SQRT(g/p6Len)*t))*{0;1}</definedName>
    <definedName name="p6y">-p6Len*COS(OMax*SIN(SQRT(g/p6Len)*t))*{0;1}</definedName>
    <definedName name="p6z">-3*Spacing*{1;1}</definedName>
    <definedName name="p7Len">'1'!$AB$19</definedName>
    <definedName name="p7x">p7Len*SIN(OMax*SIN(SQRT(g/p7Len)*t))*{0;1}</definedName>
    <definedName name="p7y">-p7Len*COS(OMax*SIN(SQRT(g/p7Len)*t))*{0;1}</definedName>
    <definedName name="p7z">-2*Spacing*{1;1}</definedName>
    <definedName name="p8Len">'1'!$AB$20</definedName>
    <definedName name="p8x">p8Len*SIN(OMax*SIN(SQRT(g/p8Len)*t))*{0;1}</definedName>
    <definedName name="p8y">-p8Len*COS(OMax*SIN(SQRT(g/p8Len)*t))*{0;1}</definedName>
    <definedName name="p8z">-Spacing*{1;1}</definedName>
    <definedName name="p9Len">'1'!$AB$21</definedName>
    <definedName name="p9x">p9Len*SIN(OMax*SIN(SQRT(g/p9Len)*t))*{0;1}</definedName>
    <definedName name="p9y">-p9Len*COS(OMax*SIN(SQRT(g/p9Len)*t))*{0;1}</definedName>
    <definedName name="p9z">0*Spacing*{1;1}</definedName>
    <definedName name="pp10x">(p10x*RM_X1)+(p10y*RM_Y1)+(p10z*RM_Z1)</definedName>
    <definedName name="pp10y">(p10x*RM_X2)+(p10y*RM_Y2)+(p10z*RM_Z2)</definedName>
    <definedName name="pp11x">(p11x*RM_X1)+(p11y*RM_Y1)+(p11z*RM_Z1)</definedName>
    <definedName name="pp11y">(p11x*RM_X2)+(p11y*RM_Y2)+(p11z*RM_Z2)</definedName>
    <definedName name="pp12x">(p12x*RM_X1)+(p12y*RM_Y1)+(p12z*RM_Z1)</definedName>
    <definedName name="pp12y">(p12x*RM_X2)+(p12y*RM_Y2)+(p12z*RM_Z2)</definedName>
    <definedName name="pp13x">(p13x*RM_X1)+(p13y*RM_Y1)+(p13z*RM_Z1)</definedName>
    <definedName name="pp13y">(p13x*RM_X2)+(p13y*RM_Y2)+(p13z*RM_Z2)</definedName>
    <definedName name="pp14x">(p14x*RM_X1)+(p14y*RM_Y1)+(p14z*RM_Z1)</definedName>
    <definedName name="pp14y">(p14x*RM_X2)+(p14y*RM_Y2)+(p14z*RM_Z2)</definedName>
    <definedName name="pp15x">(p15x*RM_X1)+(p15y*RM_Y1)+(p15z*RM_Z1)</definedName>
    <definedName name="pp15y">(p15x*RM_X2)+(p15y*RM_Y2)+(p15z*RM_Z2)</definedName>
    <definedName name="pp16x">(p16x*RM_X1)+(p16y*RM_Y1)+(p16z*RM_Z1)</definedName>
    <definedName name="pp16y">(p16x*RM_X2)+(p16y*RM_Y2)+(p16z*RM_Z2)</definedName>
    <definedName name="pp1x">(p1x*RM_X1)+(p1y*RM_Y1)+(p1z*RM_Z1)</definedName>
    <definedName name="pp1y">(p1x*RM_X2)+(p1y*RM_Y2)+(p1z*RM_Z2)</definedName>
    <definedName name="pp2x">(p2x*RM_X1)+(p2y*RM_Y1)+(p2z*RM_Z1)</definedName>
    <definedName name="pp2y">(p2x*RM_X2)+(p2y*RM_Y2)+(p2z*RM_Z2)</definedName>
    <definedName name="pp3x">(p3x*RM_X1)+(p3y*RM_Y1)+(p3z*RM_Z1)</definedName>
    <definedName name="pp3y">(p3x*RM_X2)+(p3y*RM_Y2)+(p3z*RM_Z2)</definedName>
    <definedName name="pp4x">(p4x*RM_X1)+(p4y*RM_Y1)+(p4z*RM_Z1)</definedName>
    <definedName name="pp4y">(p4x*RM_X2)+(p4y*RM_Y2)+(p4z*RM_Z2)</definedName>
    <definedName name="pp5x">(p5x*RM_X1)+(p5y*RM_Y1)+(p5z*RM_Z1)</definedName>
    <definedName name="pp5y">(p5x*RM_X2)+(p5y*RM_Y2)+(p5z*RM_Z2)</definedName>
    <definedName name="pp6x">(p6x*RM_X1)+(p6y*RM_Y1)+(p6z*RM_Z1)</definedName>
    <definedName name="pp6y">(p6x*RM_X2)+(p6y*RM_Y2)+(p6z*RM_Z2)</definedName>
    <definedName name="pp7x">(p7x*RM_X1)+(p7y*RM_Y1)+(p7z*RM_Z1)</definedName>
    <definedName name="pp7y">(p7x*RM_X2)+(p7y*RM_Y2)+(p7z*RM_Z2)</definedName>
    <definedName name="pp8x">(p8x*RM_X1)+(p8y*RM_Y1)+(p8z*RM_Z1)</definedName>
    <definedName name="pp8y">(p8x*RM_X2)+(p8y*RM_Y2)+(p8z*RM_Z2)</definedName>
    <definedName name="pp9x">(p9x*RM_X1)+(p9y*RM_Y1)+(p9z*RM_Z1)</definedName>
    <definedName name="pp9y">(p9x*RM_X2)+(p9y*RM_Y2)+(p9z*RM_Z2)</definedName>
    <definedName name="QQ">'1'!$K$6</definedName>
    <definedName name="RM_X1">YCos*ZCos</definedName>
    <definedName name="RM_X2">ZCos * -YSin * -XSin + ZSin * XCos</definedName>
    <definedName name="RM_X3">ZCos * -YSin * XCos + ZSin * XSin</definedName>
    <definedName name="RM_Y1">-ZSin * YCos</definedName>
    <definedName name="RM_Y2">-ZSin * -YSin * -XSin + ZCos*XCos</definedName>
    <definedName name="RM_Y3">-ZSin * -YSin * XCos + ZCos * XSin</definedName>
    <definedName name="RM_Z1">YSin</definedName>
    <definedName name="RM_Z2">YCos * -XSin</definedName>
    <definedName name="RM_Z3">YCos * XCos</definedName>
    <definedName name="ShowAxis">'1'!$AB$11</definedName>
    <definedName name="ShowCage">'1'!$AB$10</definedName>
    <definedName name="Spacing">'1'!$H$8</definedName>
    <definedName name="Start">-p1Len*COS(OMax)</definedName>
    <definedName name="t">5.19999999999998</definedName>
    <definedName name="tinc">'1'!$H$5</definedName>
    <definedName name="XAngle">'1'!$N$11</definedName>
    <definedName name="XCos">COS(RADIANS(XAngle))</definedName>
    <definedName name="XSin">SIN(RADIANS(XAngle))</definedName>
    <definedName name="YAngle">'1'!$N$12</definedName>
    <definedName name="YCos">COS(RADIANS(YAngle))</definedName>
    <definedName name="YRot">'1'!$AB$6</definedName>
    <definedName name="YSin">SIN(RADIANS(YAngle))</definedName>
    <definedName name="ZAngle">'1'!$N$13</definedName>
    <definedName name="ZCos">COS(RADIANS(ZAngle))</definedName>
    <definedName name="ZSin">SIN(RADIANS(ZAngle))</definedName>
  </definedNames>
  <calcPr calcId="144525"/>
</workbook>
</file>

<file path=xl/calcChain.xml><?xml version="1.0" encoding="utf-8"?>
<calcChain xmlns="http://schemas.openxmlformats.org/spreadsheetml/2006/main">
  <c r="H7" i="1" l="1"/>
  <c r="AD66" i="1" l="1"/>
  <c r="AB85" i="1"/>
  <c r="AB88" i="1"/>
  <c r="AC90" i="1"/>
  <c r="AB90" i="1"/>
  <c r="AC89" i="1"/>
  <c r="AB89" i="1"/>
  <c r="AC88" i="1"/>
  <c r="AC86" i="1"/>
  <c r="AB86" i="1"/>
  <c r="AC84" i="1"/>
  <c r="AB84" i="1"/>
  <c r="AC83" i="1"/>
  <c r="AB83" i="1"/>
  <c r="AC82" i="1"/>
  <c r="AB82" i="1"/>
  <c r="AC81" i="1"/>
  <c r="AB81" i="1"/>
  <c r="AC78" i="1"/>
  <c r="AC77" i="1"/>
  <c r="AB77" i="1"/>
  <c r="AC76" i="1"/>
  <c r="AB76" i="1"/>
  <c r="AC72" i="1"/>
  <c r="AB72" i="1"/>
  <c r="AD58" i="1"/>
  <c r="AB78" i="1" s="1"/>
  <c r="AD53" i="1"/>
  <c r="AB73" i="1" s="1"/>
  <c r="AD54" i="1"/>
  <c r="AD55" i="1" s="1"/>
  <c r="AD40" i="1"/>
  <c r="AC37" i="1"/>
  <c r="AB46" i="1" s="1"/>
  <c r="AB34" i="1"/>
  <c r="AC43" i="1" s="1"/>
  <c r="AD39" i="1"/>
  <c r="AB48" i="1" s="1"/>
  <c r="AC36" i="1"/>
  <c r="AB33" i="1"/>
  <c r="AB42" i="1" s="1"/>
  <c r="AC49" i="1"/>
  <c r="AB49" i="1"/>
  <c r="AC47" i="1"/>
  <c r="AB47" i="1"/>
  <c r="AC46" i="1"/>
  <c r="AC45" i="1"/>
  <c r="AB45" i="1"/>
  <c r="AC44" i="1"/>
  <c r="AB44" i="1"/>
  <c r="AB43" i="1" l="1"/>
  <c r="AC48" i="1"/>
  <c r="AC73" i="1"/>
  <c r="AC87" i="1"/>
  <c r="AB87" i="1"/>
  <c r="AC85" i="1"/>
  <c r="AB75" i="1"/>
  <c r="AC75" i="1"/>
  <c r="AC74" i="1"/>
  <c r="AB74" i="1"/>
  <c r="AD59" i="1"/>
  <c r="AC42" i="1"/>
  <c r="AB79" i="1" l="1"/>
  <c r="AC79" i="1"/>
  <c r="AD60" i="1"/>
  <c r="AB80" i="1" l="1"/>
  <c r="AC80" i="1"/>
  <c r="AC15" i="1"/>
  <c r="AC16" i="1" s="1"/>
  <c r="AB14" i="1"/>
  <c r="AB15" i="1" l="1"/>
  <c r="AC17" i="1"/>
  <c r="AB16" i="1"/>
  <c r="AC18" i="1" l="1"/>
  <c r="AB17" i="1"/>
  <c r="AC19" i="1" l="1"/>
  <c r="AB18" i="1"/>
  <c r="AC20" i="1" l="1"/>
  <c r="AB19" i="1"/>
  <c r="AB20" i="1" l="1"/>
  <c r="AC21" i="1"/>
  <c r="AC22" i="1" l="1"/>
  <c r="AB21" i="1"/>
  <c r="AB22" i="1" l="1"/>
  <c r="AC23" i="1"/>
  <c r="AC24" i="1" l="1"/>
  <c r="AB23" i="1"/>
  <c r="AB24" i="1" l="1"/>
  <c r="AC25" i="1"/>
  <c r="AC26" i="1" l="1"/>
  <c r="AB25" i="1"/>
  <c r="AB26" i="1" l="1"/>
  <c r="AC27" i="1"/>
  <c r="AC28" i="1" l="1"/>
  <c r="AB27" i="1"/>
  <c r="AB28" i="1" l="1"/>
</calcChain>
</file>

<file path=xl/comments1.xml><?xml version="1.0" encoding="utf-8"?>
<comments xmlns="http://schemas.openxmlformats.org/spreadsheetml/2006/main">
  <authors>
    <author>Ian Huitson</author>
  </authors>
  <commentList>
    <comment ref="H5" authorId="0">
      <text>
        <r>
          <rPr>
            <b/>
            <sz val="9"/>
            <color indexed="81"/>
            <rFont val="Tahoma"/>
            <family val="2"/>
          </rPr>
          <t>Smaller = Slower
Larger = Faster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<sst xmlns="http://schemas.openxmlformats.org/spreadsheetml/2006/main" count="38" uniqueCount="34">
  <si>
    <t>Pendulum</t>
  </si>
  <si>
    <t>Gravity</t>
  </si>
  <si>
    <t>Degrees</t>
  </si>
  <si>
    <t>Swing (Max)</t>
  </si>
  <si>
    <t>Length, cm</t>
  </si>
  <si>
    <t>Cycles/T</t>
  </si>
  <si>
    <t>Time Inc</t>
  </si>
  <si>
    <t xml:space="preserve">Inspiration: </t>
  </si>
  <si>
    <t>Smaller = Slower</t>
  </si>
  <si>
    <t xml:space="preserve">Bob Color </t>
  </si>
  <si>
    <t xml:space="preserve">Wire Color </t>
  </si>
  <si>
    <t>Newton Excel Bach</t>
  </si>
  <si>
    <t xml:space="preserve">Author: </t>
  </si>
  <si>
    <t>Ian Huitson</t>
  </si>
  <si>
    <t>Spacing</t>
  </si>
  <si>
    <t>cm</t>
  </si>
  <si>
    <t>Tinc</t>
  </si>
  <si>
    <t>max Swing</t>
  </si>
  <si>
    <t>Running</t>
  </si>
  <si>
    <t>X Angle</t>
  </si>
  <si>
    <t>Y Angle</t>
  </si>
  <si>
    <t>Z Angle</t>
  </si>
  <si>
    <t xml:space="preserve">3D Code: </t>
  </si>
  <si>
    <t>AJP Excel Information</t>
  </si>
  <si>
    <r>
      <t>cm/s</t>
    </r>
    <r>
      <rPr>
        <vertAlign val="superscript"/>
        <sz val="16"/>
        <color theme="1" tint="0.499984740745262"/>
        <rFont val="Calibri"/>
        <family val="2"/>
        <scheme val="minor"/>
      </rPr>
      <t>2</t>
    </r>
    <r>
      <rPr>
        <sz val="16"/>
        <color theme="1" tint="0.499984740745262"/>
        <rFont val="Calibri"/>
        <family val="2"/>
        <scheme val="minor"/>
      </rPr>
      <t xml:space="preserve"> </t>
    </r>
  </si>
  <si>
    <t>Axes</t>
  </si>
  <si>
    <t>X</t>
  </si>
  <si>
    <t>Y</t>
  </si>
  <si>
    <t>Z</t>
  </si>
  <si>
    <t>Cage</t>
  </si>
  <si>
    <t>Grid</t>
  </si>
  <si>
    <t>Show Cage</t>
  </si>
  <si>
    <t>Show Axis</t>
  </si>
  <si>
    <t>Animate Y Rotation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</si>
</sst>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4" x14ac:knownFonts="1">
    <font>
      <sz val="8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8"/>
      <color rgb="FF006100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8"/>
      <color rgb="FF000000"/>
      <name val="Tahoma"/>
      <family val="2"/>
    </font>
    <font>
      <b/>
      <u/>
      <sz val="8"/>
      <color theme="1"/>
      <name val="Calibri"/>
      <family val="2"/>
      <scheme val="minor"/>
    </font>
    <font>
      <b/>
      <sz val="8"/>
      <color rgb="FF0000FF"/>
      <name val="Calibri"/>
      <family val="2"/>
      <scheme val="minor"/>
    </font>
    <font>
      <u/>
      <sz val="10.4"/>
      <color theme="10"/>
      <name val="Calibri"/>
      <family val="2"/>
    </font>
    <font>
      <u/>
      <sz val="8"/>
      <color theme="10"/>
      <name val="Calibri"/>
      <family val="2"/>
    </font>
    <font>
      <b/>
      <sz val="12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8"/>
      <color rgb="FF0000FF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u/>
      <sz val="22"/>
      <color theme="10"/>
      <name val="Calibri"/>
      <family val="2"/>
    </font>
    <font>
      <b/>
      <sz val="16"/>
      <color rgb="FF0000FF"/>
      <name val="Calibri"/>
      <family val="2"/>
      <scheme val="minor"/>
    </font>
    <font>
      <b/>
      <sz val="10"/>
      <color rgb="FF0000FF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 tint="0.499984740745262"/>
      <name val="Calibri"/>
      <family val="2"/>
      <scheme val="minor"/>
    </font>
    <font>
      <vertAlign val="superscript"/>
      <sz val="16"/>
      <color theme="1" tint="0.499984740745262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6"/>
      <color theme="10"/>
      <name val="Calibri"/>
      <family val="2"/>
    </font>
    <font>
      <b/>
      <u/>
      <sz val="16"/>
      <color theme="1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6">
    <border>
      <left/>
      <right/>
      <top/>
      <bottom/>
      <diagonal/>
    </border>
    <border>
      <left style="thin">
        <color theme="3" tint="0.39994506668294322"/>
      </left>
      <right style="thin">
        <color theme="3" tint="0.39994506668294322"/>
      </right>
      <top style="thin">
        <color theme="3" tint="0.39994506668294322"/>
      </top>
      <bottom/>
      <diagonal/>
    </border>
    <border>
      <left style="thin">
        <color theme="3" tint="0.39994506668294322"/>
      </left>
      <right style="thin">
        <color theme="3" tint="0.39994506668294322"/>
      </right>
      <top/>
      <bottom/>
      <diagonal/>
    </border>
    <border>
      <left style="thin">
        <color theme="3" tint="0.39994506668294322"/>
      </left>
      <right style="thin">
        <color theme="3" tint="0.39994506668294322"/>
      </right>
      <top/>
      <bottom style="thin">
        <color theme="3" tint="0.399945066682943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rgb="FF0000FF"/>
      </left>
      <right/>
      <top style="double">
        <color rgb="FF0000FF"/>
      </top>
      <bottom/>
      <diagonal/>
    </border>
    <border>
      <left/>
      <right/>
      <top style="double">
        <color rgb="FF0000FF"/>
      </top>
      <bottom/>
      <diagonal/>
    </border>
    <border>
      <left/>
      <right style="double">
        <color rgb="FF0000FF"/>
      </right>
      <top style="double">
        <color rgb="FF0000FF"/>
      </top>
      <bottom/>
      <diagonal/>
    </border>
    <border>
      <left style="double">
        <color rgb="FF0000FF"/>
      </left>
      <right/>
      <top/>
      <bottom/>
      <diagonal/>
    </border>
    <border>
      <left/>
      <right style="double">
        <color rgb="FF0000FF"/>
      </right>
      <top/>
      <bottom/>
      <diagonal/>
    </border>
    <border>
      <left style="double">
        <color rgb="FF0000FF"/>
      </left>
      <right/>
      <top/>
      <bottom style="double">
        <color rgb="FF0000FF"/>
      </bottom>
      <diagonal/>
    </border>
    <border>
      <left/>
      <right/>
      <top/>
      <bottom style="double">
        <color rgb="FF0000FF"/>
      </bottom>
      <diagonal/>
    </border>
    <border>
      <left/>
      <right style="double">
        <color rgb="FF0000FF"/>
      </right>
      <top/>
      <bottom style="double">
        <color rgb="FF0000FF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FF"/>
      </left>
      <right style="thin">
        <color rgb="FF0000FF"/>
      </right>
      <top style="thin">
        <color rgb="FF0000FF"/>
      </top>
      <bottom/>
      <diagonal/>
    </border>
    <border>
      <left style="thin">
        <color rgb="FF0000FF"/>
      </left>
      <right style="thin">
        <color rgb="FF0000FF"/>
      </right>
      <top/>
      <bottom/>
      <diagonal/>
    </border>
    <border>
      <left style="thin">
        <color rgb="FF0000FF"/>
      </left>
      <right style="thin">
        <color rgb="FF0000FF"/>
      </right>
      <top/>
      <bottom style="thin">
        <color rgb="FF0000FF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4">
    <xf numFmtId="0" fontId="0" fillId="0" borderId="0"/>
    <xf numFmtId="0" fontId="2" fillId="2" borderId="0" applyNumberFormat="0" applyBorder="0" applyAlignment="0" applyProtection="0"/>
    <xf numFmtId="0" fontId="7" fillId="0" borderId="0" applyNumberFormat="0" applyFill="0" applyBorder="0" applyAlignment="0" applyProtection="0">
      <alignment vertical="top"/>
      <protection locked="0"/>
    </xf>
    <xf numFmtId="0" fontId="1" fillId="0" borderId="0"/>
  </cellStyleXfs>
  <cellXfs count="79">
    <xf numFmtId="0" fontId="0" fillId="0" borderId="0" xfId="0"/>
    <xf numFmtId="0" fontId="0" fillId="4" borderId="0" xfId="0" applyFill="1"/>
    <xf numFmtId="0" fontId="3" fillId="4" borderId="0" xfId="0" applyFont="1" applyFill="1"/>
    <xf numFmtId="0" fontId="0" fillId="4" borderId="0" xfId="0" applyFill="1" applyAlignment="1">
      <alignment horizontal="center"/>
    </xf>
    <xf numFmtId="2" fontId="0" fillId="4" borderId="0" xfId="0" quotePrefix="1" applyNumberFormat="1" applyFill="1" applyAlignment="1">
      <alignment horizontal="center"/>
    </xf>
    <xf numFmtId="0" fontId="5" fillId="4" borderId="0" xfId="0" applyFont="1" applyFill="1" applyAlignment="1">
      <alignment horizontal="center"/>
    </xf>
    <xf numFmtId="0" fontId="5" fillId="4" borderId="0" xfId="0" quotePrefix="1" applyNumberFormat="1" applyFont="1" applyFill="1" applyAlignment="1">
      <alignment horizontal="center"/>
    </xf>
    <xf numFmtId="0" fontId="8" fillId="4" borderId="0" xfId="2" applyFont="1" applyFill="1" applyAlignment="1" applyProtection="1"/>
    <xf numFmtId="0" fontId="0" fillId="4" borderId="0" xfId="0" applyFill="1" applyAlignment="1">
      <alignment horizontal="centerContinuous"/>
    </xf>
    <xf numFmtId="0" fontId="9" fillId="4" borderId="0" xfId="0" applyFont="1" applyFill="1" applyAlignment="1">
      <alignment horizontal="centerContinuous"/>
    </xf>
    <xf numFmtId="0" fontId="6" fillId="3" borderId="1" xfId="0" applyFont="1" applyFill="1" applyBorder="1" applyAlignment="1">
      <alignment horizontal="center"/>
    </xf>
    <xf numFmtId="0" fontId="6" fillId="3" borderId="3" xfId="0" applyFont="1" applyFill="1" applyBorder="1" applyAlignment="1">
      <alignment horizontal="center"/>
    </xf>
    <xf numFmtId="0" fontId="13" fillId="4" borderId="0" xfId="0" applyFont="1" applyFill="1"/>
    <xf numFmtId="0" fontId="15" fillId="4" borderId="0" xfId="2" applyFont="1" applyFill="1" applyAlignment="1" applyProtection="1"/>
    <xf numFmtId="0" fontId="14" fillId="4" borderId="0" xfId="0" applyFont="1" applyFill="1" applyAlignment="1">
      <alignment horizontal="right"/>
    </xf>
    <xf numFmtId="0" fontId="17" fillId="4" borderId="0" xfId="0" applyFont="1" applyFill="1" applyAlignment="1">
      <alignment horizontal="centerContinuous"/>
    </xf>
    <xf numFmtId="0" fontId="1" fillId="4" borderId="0" xfId="0" applyFont="1" applyFill="1"/>
    <xf numFmtId="0" fontId="1" fillId="0" borderId="0" xfId="0" applyFont="1"/>
    <xf numFmtId="0" fontId="16" fillId="3" borderId="1" xfId="1" applyFont="1" applyFill="1" applyBorder="1"/>
    <xf numFmtId="0" fontId="16" fillId="3" borderId="2" xfId="1" applyFont="1" applyFill="1" applyBorder="1"/>
    <xf numFmtId="3" fontId="16" fillId="3" borderId="3" xfId="1" applyNumberFormat="1" applyFont="1" applyFill="1" applyBorder="1"/>
    <xf numFmtId="0" fontId="16" fillId="3" borderId="4" xfId="1" applyFont="1" applyFill="1" applyBorder="1" applyAlignment="1">
      <alignment horizontal="center"/>
    </xf>
    <xf numFmtId="0" fontId="16" fillId="3" borderId="5" xfId="1" applyFont="1" applyFill="1" applyBorder="1" applyAlignment="1">
      <alignment horizontal="center"/>
    </xf>
    <xf numFmtId="0" fontId="16" fillId="3" borderId="6" xfId="1" applyFont="1" applyFill="1" applyBorder="1" applyAlignment="1">
      <alignment horizontal="center"/>
    </xf>
    <xf numFmtId="0" fontId="0" fillId="4" borderId="0" xfId="0" applyFont="1" applyFill="1"/>
    <xf numFmtId="0" fontId="0" fillId="4" borderId="0" xfId="0" applyFont="1" applyFill="1" applyAlignment="1">
      <alignment horizontal="center"/>
    </xf>
    <xf numFmtId="2" fontId="0" fillId="4" borderId="0" xfId="0" quotePrefix="1" applyNumberFormat="1" applyFont="1" applyFill="1" applyAlignment="1">
      <alignment horizontal="center"/>
    </xf>
    <xf numFmtId="0" fontId="0" fillId="0" borderId="0" xfId="0" applyFont="1"/>
    <xf numFmtId="0" fontId="12" fillId="4" borderId="7" xfId="0" applyFont="1" applyFill="1" applyBorder="1" applyAlignment="1">
      <alignment horizontal="centerContinuous"/>
    </xf>
    <xf numFmtId="0" fontId="0" fillId="4" borderId="8" xfId="0" applyFill="1" applyBorder="1" applyAlignment="1">
      <alignment horizontal="centerContinuous"/>
    </xf>
    <xf numFmtId="0" fontId="0" fillId="4" borderId="8" xfId="0" applyFill="1" applyBorder="1"/>
    <xf numFmtId="0" fontId="0" fillId="4" borderId="9" xfId="0" applyFill="1" applyBorder="1"/>
    <xf numFmtId="0" fontId="12" fillId="4" borderId="10" xfId="0" applyFont="1" applyFill="1" applyBorder="1" applyAlignment="1">
      <alignment horizontal="centerContinuous"/>
    </xf>
    <xf numFmtId="0" fontId="0" fillId="4" borderId="0" xfId="0" applyFill="1" applyBorder="1" applyAlignment="1">
      <alignment horizontal="centerContinuous"/>
    </xf>
    <xf numFmtId="0" fontId="0" fillId="4" borderId="0" xfId="0" applyFill="1" applyBorder="1"/>
    <xf numFmtId="0" fontId="0" fillId="4" borderId="11" xfId="0" applyFill="1" applyBorder="1"/>
    <xf numFmtId="0" fontId="17" fillId="4" borderId="10" xfId="0" applyFont="1" applyFill="1" applyBorder="1" applyAlignment="1">
      <alignment horizontal="centerContinuous"/>
    </xf>
    <xf numFmtId="0" fontId="1" fillId="4" borderId="0" xfId="0" applyFont="1" applyFill="1" applyBorder="1" applyAlignment="1">
      <alignment horizontal="centerContinuous"/>
    </xf>
    <xf numFmtId="0" fontId="1" fillId="4" borderId="0" xfId="0" applyFont="1" applyFill="1" applyBorder="1"/>
    <xf numFmtId="0" fontId="17" fillId="4" borderId="0" xfId="0" applyFont="1" applyFill="1" applyBorder="1" applyAlignment="1">
      <alignment horizontal="centerContinuous"/>
    </xf>
    <xf numFmtId="0" fontId="1" fillId="4" borderId="11" xfId="0" applyFont="1" applyFill="1" applyBorder="1"/>
    <xf numFmtId="0" fontId="0" fillId="4" borderId="10" xfId="0" applyFill="1" applyBorder="1"/>
    <xf numFmtId="0" fontId="18" fillId="4" borderId="0" xfId="0" applyFont="1" applyFill="1" applyBorder="1" applyAlignment="1">
      <alignment horizontal="right"/>
    </xf>
    <xf numFmtId="0" fontId="19" fillId="4" borderId="0" xfId="0" applyFont="1" applyFill="1" applyBorder="1"/>
    <xf numFmtId="0" fontId="22" fillId="4" borderId="0" xfId="2" applyFont="1" applyFill="1" applyBorder="1" applyAlignment="1" applyProtection="1"/>
    <xf numFmtId="0" fontId="21" fillId="4" borderId="0" xfId="0" applyFont="1" applyFill="1" applyBorder="1"/>
    <xf numFmtId="0" fontId="0" fillId="4" borderId="10" xfId="0" applyFont="1" applyFill="1" applyBorder="1"/>
    <xf numFmtId="0" fontId="0" fillId="4" borderId="0" xfId="0" applyFont="1" applyFill="1" applyBorder="1"/>
    <xf numFmtId="0" fontId="3" fillId="4" borderId="0" xfId="0" applyFont="1" applyFill="1" applyBorder="1" applyAlignment="1">
      <alignment horizontal="right"/>
    </xf>
    <xf numFmtId="0" fontId="0" fillId="4" borderId="11" xfId="0" applyFont="1" applyFill="1" applyBorder="1"/>
    <xf numFmtId="0" fontId="0" fillId="4" borderId="12" xfId="0" applyFill="1" applyBorder="1"/>
    <xf numFmtId="0" fontId="0" fillId="4" borderId="13" xfId="0" applyFill="1" applyBorder="1"/>
    <xf numFmtId="0" fontId="0" fillId="4" borderId="14" xfId="0" applyFill="1" applyBorder="1"/>
    <xf numFmtId="0" fontId="6" fillId="3" borderId="21" xfId="0" applyFont="1" applyFill="1" applyBorder="1" applyAlignment="1">
      <alignment horizontal="center"/>
    </xf>
    <xf numFmtId="0" fontId="6" fillId="3" borderId="22" xfId="0" applyFont="1" applyFill="1" applyBorder="1" applyAlignment="1">
      <alignment horizontal="center"/>
    </xf>
    <xf numFmtId="0" fontId="6" fillId="3" borderId="23" xfId="0" applyFont="1" applyFill="1" applyBorder="1" applyAlignment="1">
      <alignment horizontal="center"/>
    </xf>
    <xf numFmtId="0" fontId="3" fillId="4" borderId="0" xfId="0" applyFont="1" applyFill="1" applyBorder="1" applyAlignment="1">
      <alignment horizontal="center"/>
    </xf>
    <xf numFmtId="0" fontId="23" fillId="4" borderId="0" xfId="2" applyFont="1" applyFill="1" applyBorder="1" applyAlignment="1" applyProtection="1"/>
    <xf numFmtId="0" fontId="0" fillId="3" borderId="0" xfId="0" applyFill="1"/>
    <xf numFmtId="0" fontId="3" fillId="4" borderId="0" xfId="0" applyFont="1" applyFill="1" applyAlignment="1">
      <alignment horizontal="center"/>
    </xf>
    <xf numFmtId="0" fontId="0" fillId="4" borderId="15" xfId="0" applyFill="1" applyBorder="1"/>
    <xf numFmtId="0" fontId="0" fillId="4" borderId="16" xfId="0" applyFill="1" applyBorder="1"/>
    <xf numFmtId="0" fontId="0" fillId="4" borderId="17" xfId="0" applyFill="1" applyBorder="1"/>
    <xf numFmtId="0" fontId="0" fillId="4" borderId="18" xfId="0" applyFill="1" applyBorder="1"/>
    <xf numFmtId="0" fontId="0" fillId="4" borderId="19" xfId="0" applyFill="1" applyBorder="1"/>
    <xf numFmtId="0" fontId="0" fillId="4" borderId="25" xfId="0" applyFill="1" applyBorder="1"/>
    <xf numFmtId="0" fontId="0" fillId="4" borderId="20" xfId="0" applyFill="1" applyBorder="1"/>
    <xf numFmtId="0" fontId="3" fillId="4" borderId="0" xfId="0" applyFont="1" applyFill="1" applyBorder="1"/>
    <xf numFmtId="0" fontId="0" fillId="5" borderId="15" xfId="0" applyFill="1" applyBorder="1"/>
    <xf numFmtId="0" fontId="0" fillId="5" borderId="24" xfId="0" applyFill="1" applyBorder="1"/>
    <xf numFmtId="0" fontId="0" fillId="5" borderId="16" xfId="0" applyFill="1" applyBorder="1"/>
    <xf numFmtId="0" fontId="0" fillId="5" borderId="17" xfId="0" applyFill="1" applyBorder="1"/>
    <xf numFmtId="0" fontId="0" fillId="5" borderId="0" xfId="0" applyFill="1" applyBorder="1"/>
    <xf numFmtId="0" fontId="0" fillId="5" borderId="18" xfId="0" applyFill="1" applyBorder="1"/>
    <xf numFmtId="0" fontId="0" fillId="5" borderId="19" xfId="0" applyFill="1" applyBorder="1"/>
    <xf numFmtId="0" fontId="0" fillId="5" borderId="25" xfId="0" applyFill="1" applyBorder="1"/>
    <xf numFmtId="0" fontId="0" fillId="5" borderId="20" xfId="0" applyFill="1" applyBorder="1"/>
    <xf numFmtId="0" fontId="13" fillId="4" borderId="0" xfId="0" applyFont="1" applyFill="1" applyBorder="1" applyAlignment="1">
      <alignment horizontal="right"/>
    </xf>
    <xf numFmtId="0" fontId="0" fillId="4" borderId="0" xfId="0" applyFill="1" applyAlignment="1">
      <alignment horizontal="right"/>
    </xf>
  </cellXfs>
  <cellStyles count="4">
    <cellStyle name="Good" xfId="1" builtinId="26"/>
    <cellStyle name="Hyperlink" xfId="2" builtinId="8"/>
    <cellStyle name="Normal" xfId="0" builtinId="0"/>
    <cellStyle name="Normal 2" xfId="3"/>
  </cellStyles>
  <dxfs count="0"/>
  <tableStyles count="0" defaultTableStyle="TableStyleMedium9" defaultPivotStyle="PivotStyleLight16"/>
  <colors>
    <mruColors>
      <color rgb="FF0000FF"/>
      <color rgb="FFFFFE00"/>
      <color rgb="FF585858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1314804001438027E-2"/>
          <c:y val="3.1362405178753459E-2"/>
          <c:w val="0.91599994438751264"/>
          <c:h val="0.93762335668108954"/>
        </c:manualLayout>
      </c:layout>
      <c:scatterChart>
        <c:scatterStyle val="lineMarker"/>
        <c:varyColors val="0"/>
        <c:ser>
          <c:idx val="0"/>
          <c:order val="0"/>
          <c:tx>
            <c:v>1</c:v>
          </c:tx>
          <c:spPr>
            <a:ln w="6350" cap="rnd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pPr>
              <a:solidFill>
                <a:srgbClr val="4F81BD">
                  <a:shade val="58000"/>
                </a:srgbClr>
              </a:solidFill>
              <a:ln w="6350" cap="rnd" cmpd="sng" algn="ctr">
                <a:solidFill>
                  <a:srgbClr val="0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Pt>
            <c:idx val="0"/>
            <c:marker>
              <c:symbol val="none"/>
            </c:marker>
            <c:bubble3D val="0"/>
          </c:dPt>
          <c:dPt>
            <c:idx val="1"/>
            <c:marker>
              <c:symbol val="circle"/>
              <c:size val="10"/>
              <c:spPr>
                <a:solidFill>
                  <a:srgbClr val="FF0000"/>
                </a:solidFill>
                <a:ln w="6350" cap="rnd" cmpd="sng" algn="ctr">
                  <a:solidFill>
                    <a:srgbClr val="000000"/>
                  </a:solidFill>
                  <a:prstDash val="solid"/>
                  <a:round/>
                  <a:headEnd type="none" w="med" len="med"/>
                  <a:tailEnd type="none" w="med" len="med"/>
                </a:ln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</c:spPr>
            </c:marker>
            <c:bubble3D val="0"/>
            <c:spPr>
              <a:ln w="6350" cap="rnd" cmpd="sng" algn="ctr">
                <a:solidFill>
                  <a:srgbClr val="000000"/>
                </a:solidFill>
                <a:prstDash val="solid"/>
                <a:round/>
                <a:headEnd type="none" w="med" len="med"/>
                <a:tailEnd type="none" w="med" len="med"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</c:dPt>
          <c:xVal>
            <c:numRef>
              <c:f>[0]!pp1x</c:f>
              <c:numCache>
                <c:formatCode>General</c:formatCode>
                <c:ptCount val="2"/>
                <c:pt idx="0">
                  <c:v>0</c:v>
                </c:pt>
                <c:pt idx="1">
                  <c:v>20.997942859083722</c:v>
                </c:pt>
              </c:numCache>
            </c:numRef>
          </c:xVal>
          <c:yVal>
            <c:numRef>
              <c:f>[0]!pp1y</c:f>
              <c:numCache>
                <c:formatCode>General</c:formatCode>
                <c:ptCount val="2"/>
                <c:pt idx="0">
                  <c:v>0</c:v>
                </c:pt>
                <c:pt idx="1">
                  <c:v>-56.205750557097403</c:v>
                </c:pt>
              </c:numCache>
            </c:numRef>
          </c:yVal>
          <c:smooth val="0"/>
        </c:ser>
        <c:ser>
          <c:idx val="1"/>
          <c:order val="1"/>
          <c:tx>
            <c:v>2</c:v>
          </c:tx>
          <c:spPr>
            <a:ln w="6350" cap="rnd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pPr>
              <a:solidFill>
                <a:srgbClr val="C0504D">
                  <a:shade val="58000"/>
                </a:srgbClr>
              </a:solidFill>
              <a:ln w="6350" cap="rnd" cmpd="sng" algn="ctr">
                <a:solidFill>
                  <a:srgbClr val="0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Pt>
            <c:idx val="0"/>
            <c:marker>
              <c:symbol val="none"/>
            </c:marker>
            <c:bubble3D val="0"/>
          </c:dPt>
          <c:dPt>
            <c:idx val="1"/>
            <c:marker>
              <c:symbol val="circle"/>
              <c:size val="10"/>
              <c:spPr>
                <a:solidFill>
                  <a:srgbClr val="803F00"/>
                </a:solidFill>
                <a:ln w="6350" cap="rnd" cmpd="sng" algn="ctr">
                  <a:solidFill>
                    <a:srgbClr val="000000"/>
                  </a:solidFill>
                  <a:prstDash val="solid"/>
                  <a:round/>
                  <a:headEnd type="none" w="med" len="med"/>
                  <a:tailEnd type="none" w="med" len="med"/>
                </a:ln>
                <a:effectLst/>
              </c:spPr>
            </c:marker>
            <c:bubble3D val="0"/>
          </c:dPt>
          <c:xVal>
            <c:numRef>
              <c:f>[0]!pp2x</c:f>
              <c:numCache>
                <c:formatCode>General</c:formatCode>
                <c:ptCount val="2"/>
                <c:pt idx="0">
                  <c:v>0</c:v>
                </c:pt>
                <c:pt idx="1">
                  <c:v>-8.8787955044638576</c:v>
                </c:pt>
              </c:numCache>
            </c:numRef>
          </c:xVal>
          <c:yVal>
            <c:numRef>
              <c:f>[0]!pp2y</c:f>
              <c:numCache>
                <c:formatCode>General</c:formatCode>
                <c:ptCount val="2"/>
                <c:pt idx="0">
                  <c:v>0</c:v>
                </c:pt>
                <c:pt idx="1">
                  <c:v>-52.197907244126</c:v>
                </c:pt>
              </c:numCache>
            </c:numRef>
          </c:yVal>
          <c:smooth val="0"/>
        </c:ser>
        <c:ser>
          <c:idx val="2"/>
          <c:order val="2"/>
          <c:tx>
            <c:v>3</c:v>
          </c:tx>
          <c:spPr>
            <a:ln w="6350" cap="rnd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pPr>
              <a:solidFill>
                <a:srgbClr val="9BBB59">
                  <a:shade val="58000"/>
                </a:srgbClr>
              </a:solidFill>
              <a:ln w="6350" cap="rnd" cmpd="sng" algn="ctr">
                <a:solidFill>
                  <a:srgbClr val="0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Pt>
            <c:idx val="0"/>
            <c:marker>
              <c:symbol val="none"/>
            </c:marker>
            <c:bubble3D val="0"/>
          </c:dPt>
          <c:dPt>
            <c:idx val="1"/>
            <c:marker>
              <c:symbol val="circle"/>
              <c:size val="10"/>
              <c:spPr>
                <a:solidFill>
                  <a:srgbClr val="007F00"/>
                </a:solidFill>
                <a:ln w="6350" cap="rnd" cmpd="sng" algn="ctr">
                  <a:solidFill>
                    <a:srgbClr val="000000"/>
                  </a:solidFill>
                  <a:prstDash val="solid"/>
                  <a:round/>
                  <a:headEnd type="none" w="med" len="med"/>
                  <a:tailEnd type="none" w="med" len="med"/>
                </a:ln>
                <a:effectLst/>
              </c:spPr>
            </c:marker>
            <c:bubble3D val="0"/>
          </c:dPt>
          <c:xVal>
            <c:numRef>
              <c:f>[0]!pp3x</c:f>
              <c:numCache>
                <c:formatCode>General</c:formatCode>
                <c:ptCount val="2"/>
                <c:pt idx="0">
                  <c:v>0</c:v>
                </c:pt>
                <c:pt idx="1">
                  <c:v>-19.582839851460179</c:v>
                </c:pt>
              </c:numCache>
            </c:numRef>
          </c:xVal>
          <c:yVal>
            <c:numRef>
              <c:f>[0]!pp3y</c:f>
              <c:numCache>
                <c:formatCode>General</c:formatCode>
                <c:ptCount val="2"/>
                <c:pt idx="0">
                  <c:v>0</c:v>
                </c:pt>
                <c:pt idx="1">
                  <c:v>-42.802332261130502</c:v>
                </c:pt>
              </c:numCache>
            </c:numRef>
          </c:yVal>
          <c:smooth val="0"/>
        </c:ser>
        <c:ser>
          <c:idx val="3"/>
          <c:order val="3"/>
          <c:tx>
            <c:v>4</c:v>
          </c:tx>
          <c:spPr>
            <a:ln w="6350" cap="rnd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pPr>
              <a:solidFill>
                <a:srgbClr val="8064A2">
                  <a:shade val="58000"/>
                </a:srgbClr>
              </a:solidFill>
              <a:ln w="6350" cap="rnd" cmpd="sng" algn="ctr">
                <a:solidFill>
                  <a:srgbClr val="0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Pt>
            <c:idx val="0"/>
            <c:marker>
              <c:symbol val="none"/>
            </c:marker>
            <c:bubble3D val="0"/>
          </c:dPt>
          <c:dPt>
            <c:idx val="1"/>
            <c:marker>
              <c:symbol val="circle"/>
              <c:size val="10"/>
              <c:spPr>
                <a:solidFill>
                  <a:srgbClr val="7FBF00"/>
                </a:solidFill>
                <a:ln w="6350" cap="rnd" cmpd="sng" algn="ctr">
                  <a:solidFill>
                    <a:srgbClr val="000000"/>
                  </a:solidFill>
                  <a:prstDash val="solid"/>
                  <a:round/>
                  <a:headEnd type="none" w="med" len="med"/>
                  <a:tailEnd type="none" w="med" len="med"/>
                </a:ln>
                <a:effectLst/>
              </c:spPr>
            </c:marker>
            <c:bubble3D val="0"/>
          </c:dPt>
          <c:xVal>
            <c:numRef>
              <c:f>[0]!pp4x</c:f>
              <c:numCache>
                <c:formatCode>General</c:formatCode>
                <c:ptCount val="2"/>
                <c:pt idx="0">
                  <c:v>0</c:v>
                </c:pt>
                <c:pt idx="1">
                  <c:v>-0.57877663245457711</c:v>
                </c:pt>
              </c:numCache>
            </c:numRef>
          </c:xVal>
          <c:yVal>
            <c:numRef>
              <c:f>[0]!pp4y</c:f>
              <c:numCache>
                <c:formatCode>General</c:formatCode>
                <c:ptCount val="2"/>
                <c:pt idx="0">
                  <c:v>0</c:v>
                </c:pt>
                <c:pt idx="1">
                  <c:v>-42.114357681674981</c:v>
                </c:pt>
              </c:numCache>
            </c:numRef>
          </c:yVal>
          <c:smooth val="0"/>
        </c:ser>
        <c:ser>
          <c:idx val="4"/>
          <c:order val="4"/>
          <c:tx>
            <c:v>5</c:v>
          </c:tx>
          <c:spPr>
            <a:ln w="6350" cap="rnd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pPr>
              <a:solidFill>
                <a:srgbClr val="4BACC6">
                  <a:shade val="58000"/>
                </a:srgbClr>
              </a:solidFill>
              <a:ln w="6350" cap="rnd" cmpd="sng" algn="ctr">
                <a:solidFill>
                  <a:srgbClr val="0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Pt>
            <c:idx val="0"/>
            <c:marker>
              <c:symbol val="none"/>
            </c:marker>
            <c:bubble3D val="0"/>
          </c:dPt>
          <c:dPt>
            <c:idx val="1"/>
            <c:marker>
              <c:symbol val="circle"/>
              <c:size val="10"/>
              <c:spPr>
                <a:solidFill>
                  <a:srgbClr val="01FE00"/>
                </a:solidFill>
                <a:ln w="6350" cap="rnd" cmpd="sng" algn="ctr">
                  <a:solidFill>
                    <a:srgbClr val="000000"/>
                  </a:solidFill>
                  <a:prstDash val="solid"/>
                  <a:round/>
                  <a:headEnd type="none" w="med" len="med"/>
                  <a:tailEnd type="none" w="med" len="med"/>
                </a:ln>
                <a:effectLst/>
              </c:spPr>
            </c:marker>
            <c:bubble3D val="0"/>
          </c:dPt>
          <c:xVal>
            <c:numRef>
              <c:f>[0]!pp5x</c:f>
              <c:numCache>
                <c:formatCode>General</c:formatCode>
                <c:ptCount val="2"/>
                <c:pt idx="0">
                  <c:v>0</c:v>
                </c:pt>
                <c:pt idx="1">
                  <c:v>15.570393766179484</c:v>
                </c:pt>
              </c:numCache>
            </c:numRef>
          </c:xVal>
          <c:yVal>
            <c:numRef>
              <c:f>[0]!pp5y</c:f>
              <c:numCache>
                <c:formatCode>General</c:formatCode>
                <c:ptCount val="2"/>
                <c:pt idx="0">
                  <c:v>0</c:v>
                </c:pt>
                <c:pt idx="1">
                  <c:v>-34.564079712163618</c:v>
                </c:pt>
              </c:numCache>
            </c:numRef>
          </c:yVal>
          <c:smooth val="0"/>
        </c:ser>
        <c:ser>
          <c:idx val="5"/>
          <c:order val="5"/>
          <c:tx>
            <c:v>6</c:v>
          </c:tx>
          <c:spPr>
            <a:ln w="6350" cap="rnd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pPr>
              <a:solidFill>
                <a:srgbClr val="F79646">
                  <a:shade val="58000"/>
                </a:srgbClr>
              </a:solidFill>
              <a:ln w="6350" cap="rnd" cmpd="sng" algn="ctr">
                <a:solidFill>
                  <a:srgbClr val="0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Pt>
            <c:idx val="0"/>
            <c:marker>
              <c:symbol val="none"/>
            </c:marker>
            <c:bubble3D val="0"/>
          </c:dPt>
          <c:dPt>
            <c:idx val="1"/>
            <c:marker>
              <c:symbol val="circle"/>
              <c:size val="10"/>
              <c:spPr>
                <a:solidFill>
                  <a:srgbClr val="7C443F"/>
                </a:solidFill>
                <a:ln w="6350" cap="rnd" cmpd="sng" algn="ctr">
                  <a:solidFill>
                    <a:srgbClr val="000000"/>
                  </a:solidFill>
                  <a:prstDash val="solid"/>
                  <a:round/>
                  <a:headEnd type="none" w="med" len="med"/>
                  <a:tailEnd type="none" w="med" len="med"/>
                </a:ln>
                <a:effectLst/>
              </c:spPr>
            </c:marker>
            <c:bubble3D val="0"/>
          </c:dPt>
          <c:xVal>
            <c:numRef>
              <c:f>[0]!pp6x</c:f>
              <c:numCache>
                <c:formatCode>General</c:formatCode>
                <c:ptCount val="2"/>
                <c:pt idx="0">
                  <c:v>0</c:v>
                </c:pt>
                <c:pt idx="1">
                  <c:v>6.5956276057164107</c:v>
                </c:pt>
              </c:numCache>
            </c:numRef>
          </c:xVal>
          <c:yVal>
            <c:numRef>
              <c:f>[0]!pp6y</c:f>
              <c:numCache>
                <c:formatCode>General</c:formatCode>
                <c:ptCount val="2"/>
                <c:pt idx="0">
                  <c:v>0</c:v>
                </c:pt>
                <c:pt idx="1">
                  <c:v>-33.660913132017789</c:v>
                </c:pt>
              </c:numCache>
            </c:numRef>
          </c:yVal>
          <c:smooth val="0"/>
        </c:ser>
        <c:ser>
          <c:idx val="6"/>
          <c:order val="6"/>
          <c:tx>
            <c:v>7</c:v>
          </c:tx>
          <c:spPr>
            <a:ln w="6350" cap="rnd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pPr>
              <a:solidFill>
                <a:srgbClr val="4F81BD">
                  <a:shade val="86000"/>
                </a:srgbClr>
              </a:solidFill>
              <a:ln w="6350" cap="rnd" cmpd="sng" algn="ctr">
                <a:solidFill>
                  <a:srgbClr val="0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Pt>
            <c:idx val="0"/>
            <c:marker>
              <c:symbol val="none"/>
            </c:marker>
            <c:bubble3D val="0"/>
          </c:dPt>
          <c:dPt>
            <c:idx val="1"/>
            <c:marker>
              <c:symbol val="circle"/>
              <c:size val="10"/>
              <c:spPr>
                <a:solidFill>
                  <a:srgbClr val="00817E"/>
                </a:solidFill>
                <a:ln w="6350" cap="rnd" cmpd="sng" algn="ctr">
                  <a:solidFill>
                    <a:srgbClr val="000000"/>
                  </a:solidFill>
                  <a:prstDash val="solid"/>
                  <a:round/>
                  <a:headEnd type="none" w="med" len="med"/>
                  <a:tailEnd type="none" w="med" len="med"/>
                </a:ln>
                <a:effectLst/>
              </c:spPr>
            </c:marker>
            <c:bubble3D val="0"/>
          </c:dPt>
          <c:xVal>
            <c:numRef>
              <c:f>[0]!pp7x</c:f>
              <c:numCache>
                <c:formatCode>General</c:formatCode>
                <c:ptCount val="2"/>
                <c:pt idx="0">
                  <c:v>0</c:v>
                </c:pt>
                <c:pt idx="1">
                  <c:v>-10.431313093652181</c:v>
                </c:pt>
              </c:numCache>
            </c:numRef>
          </c:xVal>
          <c:yVal>
            <c:numRef>
              <c:f>[0]!pp7y</c:f>
              <c:numCache>
                <c:formatCode>General</c:formatCode>
                <c:ptCount val="2"/>
                <c:pt idx="0">
                  <c:v>0</c:v>
                </c:pt>
                <c:pt idx="1">
                  <c:v>-29.388024910897347</c:v>
                </c:pt>
              </c:numCache>
            </c:numRef>
          </c:yVal>
          <c:smooth val="0"/>
        </c:ser>
        <c:ser>
          <c:idx val="7"/>
          <c:order val="7"/>
          <c:tx>
            <c:v>8</c:v>
          </c:tx>
          <c:spPr>
            <a:ln w="6350" cap="rnd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pPr>
              <a:solidFill>
                <a:srgbClr val="C0504D">
                  <a:shade val="86000"/>
                </a:srgbClr>
              </a:solidFill>
              <a:ln w="6350" cap="rnd" cmpd="sng" algn="ctr">
                <a:solidFill>
                  <a:srgbClr val="0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Pt>
            <c:idx val="0"/>
            <c:marker>
              <c:symbol val="none"/>
            </c:marker>
            <c:bubble3D val="0"/>
          </c:dPt>
          <c:dPt>
            <c:idx val="1"/>
            <c:marker>
              <c:symbol val="circle"/>
              <c:size val="10"/>
              <c:spPr>
                <a:solidFill>
                  <a:srgbClr val="81BFBE"/>
                </a:solidFill>
                <a:ln w="6350" cap="rnd" cmpd="sng" algn="ctr">
                  <a:solidFill>
                    <a:srgbClr val="000000"/>
                  </a:solidFill>
                  <a:prstDash val="solid"/>
                  <a:round/>
                  <a:headEnd type="none" w="med" len="med"/>
                  <a:tailEnd type="none" w="med" len="med"/>
                </a:ln>
                <a:effectLst/>
              </c:spPr>
            </c:marker>
            <c:bubble3D val="0"/>
          </c:dPt>
          <c:xVal>
            <c:numRef>
              <c:f>[0]!pp8x</c:f>
              <c:numCache>
                <c:formatCode>General</c:formatCode>
                <c:ptCount val="2"/>
                <c:pt idx="0">
                  <c:v>0</c:v>
                </c:pt>
                <c:pt idx="1">
                  <c:v>-9.4512553527490528</c:v>
                </c:pt>
              </c:numCache>
            </c:numRef>
          </c:xVal>
          <c:yVal>
            <c:numRef>
              <c:f>[0]!pp8y</c:f>
              <c:numCache>
                <c:formatCode>General</c:formatCode>
                <c:ptCount val="2"/>
                <c:pt idx="0">
                  <c:v>0</c:v>
                </c:pt>
                <c:pt idx="1">
                  <c:v>-26.859759243764444</c:v>
                </c:pt>
              </c:numCache>
            </c:numRef>
          </c:yVal>
          <c:smooth val="0"/>
        </c:ser>
        <c:ser>
          <c:idx val="8"/>
          <c:order val="8"/>
          <c:tx>
            <c:v>9</c:v>
          </c:tx>
          <c:spPr>
            <a:ln w="6350" cap="rnd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pPr>
              <a:solidFill>
                <a:srgbClr val="9BBB59">
                  <a:shade val="86000"/>
                </a:srgbClr>
              </a:solidFill>
              <a:ln w="6350" cap="rnd" cmpd="sng" algn="ctr">
                <a:solidFill>
                  <a:srgbClr val="0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Pt>
            <c:idx val="0"/>
            <c:marker>
              <c:symbol val="none"/>
            </c:marker>
            <c:bubble3D val="0"/>
          </c:dPt>
          <c:dPt>
            <c:idx val="1"/>
            <c:marker>
              <c:symbol val="circle"/>
              <c:size val="10"/>
              <c:spPr>
                <a:solidFill>
                  <a:srgbClr val="FF02FD"/>
                </a:solidFill>
                <a:ln w="6350" cap="rnd" cmpd="sng" algn="ctr">
                  <a:solidFill>
                    <a:srgbClr val="000000"/>
                  </a:solidFill>
                  <a:prstDash val="solid"/>
                  <a:round/>
                  <a:headEnd type="none" w="med" len="med"/>
                  <a:tailEnd type="none" w="med" len="med"/>
                </a:ln>
                <a:effectLst/>
              </c:spPr>
            </c:marker>
            <c:bubble3D val="0"/>
          </c:dPt>
          <c:xVal>
            <c:numRef>
              <c:f>[0]!pp9x</c:f>
              <c:numCache>
                <c:formatCode>General</c:formatCode>
                <c:ptCount val="2"/>
                <c:pt idx="0">
                  <c:v>0</c:v>
                </c:pt>
                <c:pt idx="1">
                  <c:v>5.118910277138438</c:v>
                </c:pt>
              </c:numCache>
            </c:numRef>
          </c:xVal>
          <c:yVal>
            <c:numRef>
              <c:f>[0]!pp9y</c:f>
              <c:numCache>
                <c:formatCode>General</c:formatCode>
                <c:ptCount val="2"/>
                <c:pt idx="0">
                  <c:v>0</c:v>
                </c:pt>
                <c:pt idx="1">
                  <c:v>-25.595454263901882</c:v>
                </c:pt>
              </c:numCache>
            </c:numRef>
          </c:yVal>
          <c:smooth val="0"/>
        </c:ser>
        <c:ser>
          <c:idx val="9"/>
          <c:order val="9"/>
          <c:tx>
            <c:v>10</c:v>
          </c:tx>
          <c:spPr>
            <a:ln w="6350" cap="rnd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pPr>
              <a:solidFill>
                <a:srgbClr val="8064A2">
                  <a:shade val="86000"/>
                </a:srgbClr>
              </a:solidFill>
              <a:ln w="6350" cap="rnd" cmpd="sng" algn="ctr">
                <a:solidFill>
                  <a:srgbClr val="0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Pt>
            <c:idx val="0"/>
            <c:marker>
              <c:symbol val="none"/>
            </c:marker>
            <c:bubble3D val="0"/>
          </c:dPt>
          <c:dPt>
            <c:idx val="1"/>
            <c:marker>
              <c:symbol val="circle"/>
              <c:size val="10"/>
              <c:spPr>
                <a:solidFill>
                  <a:srgbClr val="FF80BE"/>
                </a:solidFill>
                <a:ln w="6350" cap="rnd" cmpd="sng" algn="ctr">
                  <a:solidFill>
                    <a:srgbClr val="000000"/>
                  </a:solidFill>
                  <a:prstDash val="solid"/>
                  <a:round/>
                  <a:headEnd type="none" w="med" len="med"/>
                  <a:tailEnd type="none" w="med" len="med"/>
                </a:ln>
                <a:effectLst/>
              </c:spPr>
            </c:marker>
            <c:bubble3D val="0"/>
          </c:dPt>
          <c:xVal>
            <c:numRef>
              <c:f>[0]!pp10x</c:f>
              <c:numCache>
                <c:formatCode>General</c:formatCode>
                <c:ptCount val="2"/>
                <c:pt idx="0">
                  <c:v>0</c:v>
                </c:pt>
                <c:pt idx="1">
                  <c:v>9.8399666586248955</c:v>
                </c:pt>
              </c:numCache>
            </c:numRef>
          </c:xVal>
          <c:yVal>
            <c:numRef>
              <c:f>[0]!pp10y</c:f>
              <c:numCache>
                <c:formatCode>General</c:formatCode>
                <c:ptCount val="2"/>
                <c:pt idx="0">
                  <c:v>0</c:v>
                </c:pt>
                <c:pt idx="1">
                  <c:v>-21.906505451457004</c:v>
                </c:pt>
              </c:numCache>
            </c:numRef>
          </c:yVal>
          <c:smooth val="0"/>
        </c:ser>
        <c:ser>
          <c:idx val="10"/>
          <c:order val="10"/>
          <c:tx>
            <c:v>11</c:v>
          </c:tx>
          <c:spPr>
            <a:ln w="6350" cap="rnd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pPr>
              <a:solidFill>
                <a:srgbClr val="4BACC6">
                  <a:shade val="86000"/>
                </a:srgbClr>
              </a:solidFill>
              <a:ln w="6350" cap="rnd" cmpd="sng" algn="ctr">
                <a:solidFill>
                  <a:srgbClr val="0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Pt>
            <c:idx val="0"/>
            <c:marker>
              <c:symbol val="none"/>
            </c:marker>
            <c:bubble3D val="0"/>
          </c:dPt>
          <c:dPt>
            <c:idx val="1"/>
            <c:marker>
              <c:symbol val="circle"/>
              <c:size val="10"/>
              <c:spPr>
                <a:solidFill>
                  <a:srgbClr val="FE027E"/>
                </a:solidFill>
                <a:ln w="6350" cap="rnd" cmpd="sng" algn="ctr">
                  <a:solidFill>
                    <a:srgbClr val="000000"/>
                  </a:solidFill>
                  <a:prstDash val="solid"/>
                  <a:round/>
                  <a:headEnd type="none" w="med" len="med"/>
                  <a:tailEnd type="none" w="med" len="med"/>
                </a:ln>
                <a:effectLst/>
              </c:spPr>
            </c:marker>
            <c:bubble3D val="0"/>
          </c:dPt>
          <c:xVal>
            <c:numRef>
              <c:f>[0]!pp11x</c:f>
              <c:numCache>
                <c:formatCode>General</c:formatCode>
                <c:ptCount val="2"/>
                <c:pt idx="0">
                  <c:v>0</c:v>
                </c:pt>
                <c:pt idx="1">
                  <c:v>-0.40117973039144789</c:v>
                </c:pt>
              </c:numCache>
            </c:numRef>
          </c:xVal>
          <c:yVal>
            <c:numRef>
              <c:f>[0]!pp11y</c:f>
              <c:numCache>
                <c:formatCode>General</c:formatCode>
                <c:ptCount val="2"/>
                <c:pt idx="0">
                  <c:v>0</c:v>
                </c:pt>
                <c:pt idx="1">
                  <c:v>-22.164766414222274</c:v>
                </c:pt>
              </c:numCache>
            </c:numRef>
          </c:yVal>
          <c:smooth val="0"/>
        </c:ser>
        <c:ser>
          <c:idx val="11"/>
          <c:order val="11"/>
          <c:tx>
            <c:v>12</c:v>
          </c:tx>
          <c:spPr>
            <a:ln w="6350" cap="rnd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pPr>
              <a:solidFill>
                <a:srgbClr val="F79646">
                  <a:shade val="86000"/>
                </a:srgbClr>
              </a:solidFill>
              <a:ln w="6350" cap="rnd" cmpd="sng" algn="ctr">
                <a:solidFill>
                  <a:srgbClr val="0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Pt>
            <c:idx val="0"/>
            <c:marker>
              <c:symbol val="none"/>
            </c:marker>
            <c:bubble3D val="0"/>
          </c:dPt>
          <c:dPt>
            <c:idx val="1"/>
            <c:marker>
              <c:symbol val="circle"/>
              <c:size val="10"/>
              <c:spPr>
                <a:solidFill>
                  <a:srgbClr val="FF823E"/>
                </a:solidFill>
                <a:ln w="6350" cap="rnd" cmpd="sng" algn="ctr">
                  <a:solidFill>
                    <a:srgbClr val="000000"/>
                  </a:solidFill>
                  <a:prstDash val="solid"/>
                  <a:round/>
                  <a:headEnd type="none" w="med" len="med"/>
                  <a:tailEnd type="none" w="med" len="med"/>
                </a:ln>
                <a:effectLst/>
              </c:spPr>
            </c:marker>
            <c:bubble3D val="0"/>
          </c:dPt>
          <c:xVal>
            <c:numRef>
              <c:f>[0]!pp12x</c:f>
              <c:numCache>
                <c:formatCode>General</c:formatCode>
                <c:ptCount val="2"/>
                <c:pt idx="0">
                  <c:v>0</c:v>
                </c:pt>
                <c:pt idx="1">
                  <c:v>-8.5544036167666562</c:v>
                </c:pt>
              </c:numCache>
            </c:numRef>
          </c:xVal>
          <c:yVal>
            <c:numRef>
              <c:f>[0]!pp12y</c:f>
              <c:numCache>
                <c:formatCode>General</c:formatCode>
                <c:ptCount val="2"/>
                <c:pt idx="0">
                  <c:v>0</c:v>
                </c:pt>
                <c:pt idx="1">
                  <c:v>-18.659445189355971</c:v>
                </c:pt>
              </c:numCache>
            </c:numRef>
          </c:yVal>
          <c:smooth val="0"/>
        </c:ser>
        <c:ser>
          <c:idx val="12"/>
          <c:order val="12"/>
          <c:tx>
            <c:v>13</c:v>
          </c:tx>
          <c:spPr>
            <a:ln w="6350" cap="rnd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pPr>
              <a:solidFill>
                <a:srgbClr val="4F81BD">
                  <a:tint val="86000"/>
                </a:srgbClr>
              </a:solidFill>
              <a:ln w="6350" cap="rnd" cmpd="sng" algn="ctr">
                <a:solidFill>
                  <a:srgbClr val="0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Pt>
            <c:idx val="0"/>
            <c:marker>
              <c:symbol val="none"/>
            </c:marker>
            <c:bubble3D val="0"/>
          </c:dPt>
          <c:dPt>
            <c:idx val="1"/>
            <c:marker>
              <c:symbol val="circle"/>
              <c:size val="10"/>
              <c:spPr>
                <a:solidFill>
                  <a:srgbClr val="948A54"/>
                </a:solidFill>
                <a:ln w="6350" cap="rnd" cmpd="sng" algn="ctr">
                  <a:solidFill>
                    <a:srgbClr val="000000"/>
                  </a:solidFill>
                  <a:prstDash val="solid"/>
                  <a:round/>
                  <a:headEnd type="none" w="med" len="med"/>
                  <a:tailEnd type="none" w="med" len="med"/>
                </a:ln>
                <a:effectLst/>
              </c:spPr>
            </c:marker>
            <c:bubble3D val="0"/>
          </c:dPt>
          <c:xVal>
            <c:numRef>
              <c:f>[0]!pp13x</c:f>
              <c:numCache>
                <c:formatCode>General</c:formatCode>
                <c:ptCount val="2"/>
                <c:pt idx="0">
                  <c:v>0</c:v>
                </c:pt>
                <c:pt idx="1">
                  <c:v>-3.1206308366399673</c:v>
                </c:pt>
              </c:numCache>
            </c:numRef>
          </c:xVal>
          <c:yVal>
            <c:numRef>
              <c:f>[0]!pp13y</c:f>
              <c:numCache>
                <c:formatCode>General</c:formatCode>
                <c:ptCount val="2"/>
                <c:pt idx="0">
                  <c:v>0</c:v>
                </c:pt>
                <c:pt idx="1">
                  <c:v>-18.803972194864627</c:v>
                </c:pt>
              </c:numCache>
            </c:numRef>
          </c:yVal>
          <c:smooth val="0"/>
        </c:ser>
        <c:ser>
          <c:idx val="13"/>
          <c:order val="13"/>
          <c:tx>
            <c:v>14</c:v>
          </c:tx>
          <c:spPr>
            <a:ln w="6350" cap="rnd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pPr>
              <a:solidFill>
                <a:srgbClr val="C0504D">
                  <a:tint val="86000"/>
                </a:srgbClr>
              </a:solidFill>
              <a:ln w="6350" cap="rnd" cmpd="sng" algn="ctr">
                <a:solidFill>
                  <a:srgbClr val="0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Pt>
            <c:idx val="0"/>
            <c:marker>
              <c:symbol val="none"/>
            </c:marker>
            <c:bubble3D val="0"/>
          </c:dPt>
          <c:dPt>
            <c:idx val="1"/>
            <c:marker>
              <c:symbol val="circle"/>
              <c:size val="10"/>
              <c:spPr>
                <a:solidFill>
                  <a:srgbClr val="31859C"/>
                </a:solidFill>
                <a:ln w="6350" cap="rnd" cmpd="sng" algn="ctr">
                  <a:solidFill>
                    <a:srgbClr val="000000"/>
                  </a:solidFill>
                  <a:prstDash val="solid"/>
                  <a:round/>
                  <a:headEnd type="none" w="med" len="med"/>
                  <a:tailEnd type="none" w="med" len="med"/>
                </a:ln>
                <a:effectLst/>
              </c:spPr>
            </c:marker>
            <c:bubble3D val="0"/>
          </c:dPt>
          <c:xVal>
            <c:numRef>
              <c:f>[0]!pp14x</c:f>
              <c:numCache>
                <c:formatCode>General</c:formatCode>
                <c:ptCount val="2"/>
                <c:pt idx="0">
                  <c:v>0</c:v>
                </c:pt>
                <c:pt idx="1">
                  <c:v>6.2520609976624915</c:v>
                </c:pt>
              </c:numCache>
            </c:numRef>
          </c:xVal>
          <c:yVal>
            <c:numRef>
              <c:f>[0]!pp14y</c:f>
              <c:numCache>
                <c:formatCode>General</c:formatCode>
                <c:ptCount val="2"/>
                <c:pt idx="0">
                  <c:v>0</c:v>
                </c:pt>
                <c:pt idx="1">
                  <c:v>-16.609265772686399</c:v>
                </c:pt>
              </c:numCache>
            </c:numRef>
          </c:yVal>
          <c:smooth val="0"/>
        </c:ser>
        <c:ser>
          <c:idx val="14"/>
          <c:order val="14"/>
          <c:tx>
            <c:v>15</c:v>
          </c:tx>
          <c:spPr>
            <a:ln w="6350" cap="rnd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pPr>
              <a:solidFill>
                <a:srgbClr val="9BBB59">
                  <a:tint val="86000"/>
                </a:srgbClr>
              </a:solidFill>
              <a:ln w="6350" cap="rnd" cmpd="sng" algn="ctr">
                <a:solidFill>
                  <a:srgbClr val="0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Pt>
            <c:idx val="0"/>
            <c:marker>
              <c:symbol val="none"/>
            </c:marker>
            <c:bubble3D val="0"/>
          </c:dPt>
          <c:dPt>
            <c:idx val="1"/>
            <c:marker>
              <c:symbol val="circle"/>
              <c:size val="10"/>
              <c:spPr>
                <a:solidFill>
                  <a:srgbClr val="D99694"/>
                </a:solidFill>
                <a:ln w="6350" cap="rnd" cmpd="sng" algn="ctr">
                  <a:solidFill>
                    <a:srgbClr val="000000"/>
                  </a:solidFill>
                  <a:prstDash val="solid"/>
                  <a:round/>
                  <a:headEnd type="none" w="med" len="med"/>
                  <a:tailEnd type="none" w="med" len="med"/>
                </a:ln>
                <a:effectLst/>
              </c:spPr>
            </c:marker>
            <c:bubble3D val="0"/>
          </c:dPt>
          <c:xVal>
            <c:numRef>
              <c:f>[0]!pp15x</c:f>
              <c:numCache>
                <c:formatCode>General</c:formatCode>
                <c:ptCount val="2"/>
                <c:pt idx="0">
                  <c:v>0</c:v>
                </c:pt>
                <c:pt idx="1">
                  <c:v>5.1688720903814414</c:v>
                </c:pt>
              </c:numCache>
            </c:numRef>
          </c:xVal>
          <c:yVal>
            <c:numRef>
              <c:f>[0]!pp15y</c:f>
              <c:numCache>
                <c:formatCode>General</c:formatCode>
                <c:ptCount val="2"/>
                <c:pt idx="0">
                  <c:v>0</c:v>
                </c:pt>
                <c:pt idx="1">
                  <c:v>-15.73707950632304</c:v>
                </c:pt>
              </c:numCache>
            </c:numRef>
          </c:yVal>
          <c:smooth val="0"/>
        </c:ser>
        <c:ser>
          <c:idx val="15"/>
          <c:order val="15"/>
          <c:tx>
            <c:v>16</c:v>
          </c:tx>
          <c:spPr>
            <a:ln w="6350" cap="rnd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pPr>
              <a:solidFill>
                <a:srgbClr val="8064A2">
                  <a:tint val="86000"/>
                </a:srgbClr>
              </a:solidFill>
              <a:ln w="6350" cap="rnd" cmpd="sng" algn="ctr">
                <a:solidFill>
                  <a:srgbClr val="0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Pt>
            <c:idx val="0"/>
            <c:marker>
              <c:symbol val="none"/>
            </c:marker>
            <c:bubble3D val="0"/>
          </c:dPt>
          <c:dPt>
            <c:idx val="1"/>
            <c:marker>
              <c:symbol val="circle"/>
              <c:size val="10"/>
              <c:spPr>
                <a:solidFill>
                  <a:srgbClr val="A6A6A6"/>
                </a:solidFill>
                <a:ln w="6350" cap="rnd" cmpd="sng" algn="ctr">
                  <a:solidFill>
                    <a:srgbClr val="000000"/>
                  </a:solidFill>
                  <a:prstDash val="solid"/>
                  <a:round/>
                  <a:headEnd type="none" w="med" len="med"/>
                  <a:tailEnd type="none" w="med" len="med"/>
                </a:ln>
                <a:effectLst/>
              </c:spPr>
            </c:marker>
            <c:bubble3D val="0"/>
          </c:dPt>
          <c:xVal>
            <c:numRef>
              <c:f>[0]!pp16x</c:f>
              <c:numCache>
                <c:formatCode>General</c:formatCode>
                <c:ptCount val="2"/>
                <c:pt idx="0">
                  <c:v>0</c:v>
                </c:pt>
                <c:pt idx="1">
                  <c:v>-3.4608501308811466</c:v>
                </c:pt>
              </c:numCache>
            </c:numRef>
          </c:xVal>
          <c:yVal>
            <c:numRef>
              <c:f>[0]!pp16y</c:f>
              <c:numCache>
                <c:formatCode>General</c:formatCode>
                <c:ptCount val="2"/>
                <c:pt idx="0">
                  <c:v>0</c:v>
                </c:pt>
                <c:pt idx="1">
                  <c:v>-15.10441663122363</c:v>
                </c:pt>
              </c:numCache>
            </c:numRef>
          </c:yVal>
          <c:smooth val="0"/>
        </c:ser>
        <c:ser>
          <c:idx val="16"/>
          <c:order val="16"/>
          <c:spPr>
            <a:ln w="19050" cap="rnd" cmpd="sng" algn="ctr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dLbls>
            <c:dLbl>
              <c:idx val="1"/>
              <c:layout/>
              <c:tx>
                <c:rich>
                  <a:bodyPr/>
                  <a:lstStyle/>
                  <a:p>
                    <a:r>
                      <a:rPr lang="en-US"/>
                      <a:t>X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4"/>
              <c:layout/>
              <c:tx>
                <c:rich>
                  <a:bodyPr/>
                  <a:lstStyle/>
                  <a:p>
                    <a:r>
                      <a:rPr lang="en-US"/>
                      <a:t>Y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7"/>
              <c:layout/>
              <c:tx>
                <c:rich>
                  <a:bodyPr/>
                  <a:lstStyle/>
                  <a:p>
                    <a:r>
                      <a:rPr lang="en-US"/>
                      <a:t>Z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txPr>
              <a:bodyPr/>
              <a:lstStyle/>
              <a:p>
                <a:pPr>
                  <a:defRPr b="1">
                    <a:solidFill>
                      <a:srgbClr val="FF0000"/>
                    </a:solidFill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'1'!$AB$42:$AB$49</c:f>
              <c:numCache>
                <c:formatCode>General</c:formatCode>
                <c:ptCount val="8"/>
                <c:pt idx="0">
                  <c:v>-50</c:v>
                </c:pt>
                <c:pt idx="1">
                  <c:v>50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'1'!$AC$42:$AC$49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-50</c:v>
                </c:pt>
                <c:pt idx="4">
                  <c:v>50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  <c:smooth val="0"/>
        </c:ser>
        <c:ser>
          <c:idx val="17"/>
          <c:order val="17"/>
          <c:tx>
            <c:v>Cage</c:v>
          </c:tx>
          <c:spPr>
            <a:ln w="41275" cap="rnd" cmpd="sng" algn="ctr">
              <a:solidFill>
                <a:prstClr val="black"/>
              </a:solidFill>
              <a:prstDash val="solid"/>
              <a:round/>
            </a:ln>
            <a:effectLst/>
            <a:extLst/>
          </c:spPr>
          <c:marker>
            <c:symbol val="none"/>
          </c:marker>
          <c:xVal>
            <c:numRef>
              <c:f>'1'!$AB$72:$AB$87</c:f>
              <c:numCache>
                <c:formatCode>General</c:formatCode>
                <c:ptCount val="16"/>
                <c:pt idx="0">
                  <c:v>0</c:v>
                </c:pt>
                <c:pt idx="1">
                  <c:v>-40</c:v>
                </c:pt>
                <c:pt idx="2">
                  <c:v>40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-40</c:v>
                </c:pt>
                <c:pt idx="7">
                  <c:v>40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-40</c:v>
                </c:pt>
                <c:pt idx="13">
                  <c:v>-40</c:v>
                </c:pt>
                <c:pt idx="14">
                  <c:v>40</c:v>
                </c:pt>
                <c:pt idx="15">
                  <c:v>40</c:v>
                </c:pt>
              </c:numCache>
            </c:numRef>
          </c:xVal>
          <c:yVal>
            <c:numRef>
              <c:f>'1'!$AC$72:$AC$87</c:f>
              <c:numCache>
                <c:formatCode>General</c:formatCode>
                <c:ptCount val="16"/>
                <c:pt idx="0">
                  <c:v>0</c:v>
                </c:pt>
                <c:pt idx="1">
                  <c:v>-80</c:v>
                </c:pt>
                <c:pt idx="2">
                  <c:v>-80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-80</c:v>
                </c:pt>
                <c:pt idx="7">
                  <c:v>-80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-80</c:v>
                </c:pt>
                <c:pt idx="13">
                  <c:v>-80</c:v>
                </c:pt>
                <c:pt idx="14">
                  <c:v>-80</c:v>
                </c:pt>
                <c:pt idx="15">
                  <c:v>-80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6446848"/>
        <c:axId val="236447424"/>
      </c:scatterChart>
      <c:valAx>
        <c:axId val="236446848"/>
        <c:scaling>
          <c:orientation val="minMax"/>
          <c:max val="100"/>
          <c:min val="-100"/>
        </c:scaling>
        <c:delete val="1"/>
        <c:axPos val="b"/>
        <c:numFmt formatCode="General" sourceLinked="1"/>
        <c:majorTickMark val="out"/>
        <c:minorTickMark val="none"/>
        <c:tickLblPos val="none"/>
        <c:crossAx val="236447424"/>
        <c:crosses val="autoZero"/>
        <c:crossBetween val="midCat"/>
      </c:valAx>
      <c:valAx>
        <c:axId val="236447424"/>
        <c:scaling>
          <c:orientation val="minMax"/>
          <c:max val="100"/>
          <c:min val="-100"/>
        </c:scaling>
        <c:delete val="1"/>
        <c:axPos val="l"/>
        <c:numFmt formatCode="General" sourceLinked="1"/>
        <c:majorTickMark val="out"/>
        <c:minorTickMark val="none"/>
        <c:tickLblPos val="none"/>
        <c:crossAx val="2364468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trlProps/ctrlProp1.xml><?xml version="1.0" encoding="utf-8"?>
<formControlPr xmlns="http://schemas.microsoft.com/office/spreadsheetml/2009/9/main" objectType="Radio" checked="Checked" firstButton="1" fmlaLink="$AB$9" lockText="1" noThreeD="1"/>
</file>

<file path=xl/ctrlProps/ctrlProp2.xml><?xml version="1.0" encoding="utf-8"?>
<formControlPr xmlns="http://schemas.microsoft.com/office/spreadsheetml/2009/9/main" objectType="Radio" lockText="1" noThreeD="1"/>
</file>

<file path=xl/ctrlProps/ctrlProp3.xml><?xml version="1.0" encoding="utf-8"?>
<formControlPr xmlns="http://schemas.microsoft.com/office/spreadsheetml/2009/9/main" objectType="Radio" lockText="1" noThreeD="1"/>
</file>

<file path=xl/ctrlProps/ctrlProp4.xml><?xml version="1.0" encoding="utf-8"?>
<formControlPr xmlns="http://schemas.microsoft.com/office/spreadsheetml/2009/9/main" objectType="GBox" noThreeD="1"/>
</file>

<file path=xl/ctrlProps/ctrlProp5.xml><?xml version="1.0" encoding="utf-8"?>
<formControlPr xmlns="http://schemas.microsoft.com/office/spreadsheetml/2009/9/main" objectType="GBox" noThreeD="1"/>
</file>

<file path=xl/ctrlProps/ctrlProp6.xml><?xml version="1.0" encoding="utf-8"?>
<formControlPr xmlns="http://schemas.microsoft.com/office/spreadsheetml/2009/9/main" objectType="Radio" checked="Checked" firstButton="1" fmlaLink="$AB$8" lockText="1" noThreeD="1"/>
</file>

<file path=xl/ctrlProps/ctrlProp7.xml><?xml version="1.0" encoding="utf-8"?>
<formControlPr xmlns="http://schemas.microsoft.com/office/spreadsheetml/2009/9/main" objectType="Radio" lockText="1" noThreeD="1"/>
</file>

<file path=xl/ctrlProps/ctrlProp8.xml><?xml version="1.0" encoding="utf-8"?>
<formControlPr xmlns="http://schemas.microsoft.com/office/spreadsheetml/2009/9/main" objectType="Radio" lockText="1" noThreeD="1"/>
</file>

<file path=xl/ctrlProps/ctrlProp9.xml><?xml version="1.0" encoding="utf-8"?>
<formControlPr xmlns="http://schemas.microsoft.com/office/spreadsheetml/2009/9/main" objectType="Radio" lockText="1" noThreeD="1"/>
</file>

<file path=xl/ctrlProps/ctrlProp10.xml><?xml version="1.0" encoding="utf-8"?>
<formControlPr xmlns="http://schemas.microsoft.com/office/spreadsheetml/2009/9/main" objectType="GBox" noThreeD="1"/>
</file>

<file path=xl/ctrlProps/ctrlProp11.xml><?xml version="1.0" encoding="utf-8"?>
<formControlPr xmlns="http://schemas.microsoft.com/office/spreadsheetml/2009/9/main" objectType="CheckBox" checked="Checked" fmlaLink="$AB$10" lockText="1" noThreeD="1"/>
</file>

<file path=xl/ctrlProps/ctrlProp12.xml><?xml version="1.0" encoding="utf-8"?>
<formControlPr xmlns="http://schemas.microsoft.com/office/spreadsheetml/2009/9/main" objectType="CheckBox" checked="Checked" fmlaLink="$AB$11" lockText="1" noThreeD="1"/>
</file>

<file path=xl/ctrlProps/ctrlProp13.xml><?xml version="1.0" encoding="utf-8"?>
<formControlPr xmlns="http://schemas.microsoft.com/office/spreadsheetml/2009/9/main" objectType="CheckBox" fmlaLink="YRot" lockText="1" noThreeD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4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121262</xdr:colOff>
      <xdr:row>6</xdr:row>
      <xdr:rowOff>55396</xdr:rowOff>
    </xdr:from>
    <xdr:ext cx="1309219" cy="354180"/>
    <xdr:sp macro="[0]!Reset" textlink="">
      <xdr:nvSpPr>
        <xdr:cNvPr id="4" name="Rounded Rectangle 3"/>
        <xdr:cNvSpPr/>
      </xdr:nvSpPr>
      <xdr:spPr>
        <a:xfrm>
          <a:off x="121262" y="1493671"/>
          <a:ext cx="1309219" cy="354180"/>
        </a:xfrm>
        <a:prstGeom prst="roundRect">
          <a:avLst/>
        </a:prstGeom>
        <a:ln>
          <a:solidFill>
            <a:srgbClr val="0000FF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>
          <a:noAutofit/>
        </a:bodyPr>
        <a:lstStyle/>
        <a:p>
          <a:pPr algn="ctr"/>
          <a:r>
            <a:rPr lang="en-AU" sz="2400" b="1">
              <a:solidFill>
                <a:srgbClr val="FF0000"/>
              </a:solidFill>
            </a:rPr>
            <a:t>Reset</a:t>
          </a:r>
        </a:p>
      </xdr:txBody>
    </xdr:sp>
    <xdr:clientData/>
  </xdr:oneCellAnchor>
  <xdr:twoCellAnchor>
    <xdr:from>
      <xdr:col>12</xdr:col>
      <xdr:colOff>92309</xdr:colOff>
      <xdr:row>16</xdr:row>
      <xdr:rowOff>114300</xdr:rowOff>
    </xdr:from>
    <xdr:to>
      <xdr:col>16</xdr:col>
      <xdr:colOff>418185</xdr:colOff>
      <xdr:row>20</xdr:row>
      <xdr:rowOff>78883</xdr:rowOff>
    </xdr:to>
    <xdr:grpSp>
      <xdr:nvGrpSpPr>
        <xdr:cNvPr id="21" name="Group 20"/>
        <xdr:cNvGrpSpPr/>
      </xdr:nvGrpSpPr>
      <xdr:grpSpPr>
        <a:xfrm>
          <a:off x="6734961" y="4048539"/>
          <a:ext cx="2628441" cy="527801"/>
          <a:chOff x="6815838" y="3876877"/>
          <a:chExt cx="3580928" cy="827301"/>
        </a:xfrm>
      </xdr:grpSpPr>
      <xdr:pic macro="[0]!Earth">
        <xdr:nvPicPr>
          <xdr:cNvPr id="9" name="Picture 8" descr="Apply the Earths Gravity"/>
          <xdr:cNvPicPr>
            <a:picLocks noChangeAspect="1"/>
          </xdr:cNvPicPr>
        </xdr:nvPicPr>
        <xdr:blipFill>
          <a:blip xmlns:r="http://schemas.openxmlformats.org/officeDocument/2006/relationships" r:embed="rId1" cstate="print"/>
          <a:stretch>
            <a:fillRect/>
          </a:stretch>
        </xdr:blipFill>
        <xdr:spPr>
          <a:xfrm>
            <a:off x="7461469" y="3886776"/>
            <a:ext cx="545253" cy="463418"/>
          </a:xfrm>
          <a:prstGeom prst="rect">
            <a:avLst/>
          </a:prstGeom>
        </xdr:spPr>
      </xdr:pic>
      <xdr:pic macro="[0]!Moon">
        <xdr:nvPicPr>
          <xdr:cNvPr id="10" name="Picture 9" descr="Apply the Moon's Gravity"/>
          <xdr:cNvPicPr>
            <a:picLocks noChangeAspect="1"/>
          </xdr:cNvPicPr>
        </xdr:nvPicPr>
        <xdr:blipFill>
          <a:blip xmlns:r="http://schemas.openxmlformats.org/officeDocument/2006/relationships" r:embed="rId2" cstate="print"/>
          <a:stretch>
            <a:fillRect/>
          </a:stretch>
        </xdr:blipFill>
        <xdr:spPr>
          <a:xfrm>
            <a:off x="6815838" y="3876877"/>
            <a:ext cx="556423" cy="483213"/>
          </a:xfrm>
          <a:prstGeom prst="rect">
            <a:avLst/>
          </a:prstGeom>
        </xdr:spPr>
      </xdr:pic>
      <xdr:pic macro="[0]!Sun">
        <xdr:nvPicPr>
          <xdr:cNvPr id="11" name="Picture 10" descr="Apply the Suns Gravity"/>
          <xdr:cNvPicPr>
            <a:picLocks noChangeAspect="1"/>
          </xdr:cNvPicPr>
        </xdr:nvPicPr>
        <xdr:blipFill>
          <a:blip xmlns:r="http://schemas.openxmlformats.org/officeDocument/2006/relationships" r:embed="rId3" cstate="print"/>
          <a:stretch>
            <a:fillRect/>
          </a:stretch>
        </xdr:blipFill>
        <xdr:spPr>
          <a:xfrm>
            <a:off x="8757314" y="3885380"/>
            <a:ext cx="535930" cy="466208"/>
          </a:xfrm>
          <a:prstGeom prst="rect">
            <a:avLst/>
          </a:prstGeom>
        </xdr:spPr>
      </xdr:pic>
    </xdr:grpSp>
    <xdr:clientData/>
  </xdr:twoCellAnchor>
  <xdr:oneCellAnchor>
    <xdr:from>
      <xdr:col>0</xdr:col>
      <xdr:colOff>114300</xdr:colOff>
      <xdr:row>4</xdr:row>
      <xdr:rowOff>18160</xdr:rowOff>
    </xdr:from>
    <xdr:ext cx="2441864" cy="484955"/>
    <xdr:sp macro="[0]!Start_Stop" textlink="">
      <xdr:nvSpPr>
        <xdr:cNvPr id="22" name="Rounded Rectangle 21"/>
        <xdr:cNvSpPr/>
      </xdr:nvSpPr>
      <xdr:spPr>
        <a:xfrm>
          <a:off x="114300" y="913510"/>
          <a:ext cx="2441864" cy="484955"/>
        </a:xfrm>
        <a:prstGeom prst="roundRect">
          <a:avLst/>
        </a:prstGeom>
        <a:ln>
          <a:solidFill>
            <a:srgbClr val="0000FF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wrap="square" lIns="0" tIns="0" rIns="0" bIns="0" rtlCol="0" anchor="ctr">
          <a:spAutoFit/>
        </a:bodyPr>
        <a:lstStyle/>
        <a:p>
          <a:pPr algn="ctr"/>
          <a:r>
            <a:rPr lang="en-AU" sz="2800" b="1">
              <a:solidFill>
                <a:srgbClr val="FF0000"/>
              </a:solidFill>
            </a:rPr>
            <a:t>Start/Stop</a:t>
          </a:r>
        </a:p>
      </xdr:txBody>
    </xdr:sp>
    <xdr:clientData/>
  </xdr:oneCellAnchor>
  <xdr:oneCellAnchor>
    <xdr:from>
      <xdr:col>1</xdr:col>
      <xdr:colOff>284513</xdr:colOff>
      <xdr:row>1</xdr:row>
      <xdr:rowOff>33618</xdr:rowOff>
    </xdr:from>
    <xdr:ext cx="7846892" cy="563552"/>
    <xdr:sp macro="" textlink="">
      <xdr:nvSpPr>
        <xdr:cNvPr id="8" name="Rectangle 7"/>
        <xdr:cNvSpPr/>
      </xdr:nvSpPr>
      <xdr:spPr>
        <a:xfrm>
          <a:off x="878425" y="179294"/>
          <a:ext cx="7846892" cy="56355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pPr algn="l"/>
          <a:r>
            <a:rPr lang="en-AU" sz="3600" b="1">
              <a:solidFill>
                <a:srgbClr val="0000FF"/>
              </a:solidFill>
            </a:rPr>
            <a:t>Dynamically Defined Dancing Pendulums</a:t>
          </a:r>
        </a:p>
      </xdr:txBody>
    </xdr:sp>
    <xdr:clientData/>
  </xdr:oneCellAnchor>
  <xdr:twoCellAnchor>
    <xdr:from>
      <xdr:col>0</xdr:col>
      <xdr:colOff>96734</xdr:colOff>
      <xdr:row>10</xdr:row>
      <xdr:rowOff>28575</xdr:rowOff>
    </xdr:from>
    <xdr:to>
      <xdr:col>11</xdr:col>
      <xdr:colOff>461035</xdr:colOff>
      <xdr:row>41</xdr:row>
      <xdr:rowOff>19668</xdr:rowOff>
    </xdr:to>
    <xdr:graphicFrame macro="">
      <xdr:nvGraphicFramePr>
        <xdr:cNvPr id="14" name="Chart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21853</xdr:colOff>
      <xdr:row>10</xdr:row>
      <xdr:rowOff>7924</xdr:rowOff>
    </xdr:from>
    <xdr:to>
      <xdr:col>18</xdr:col>
      <xdr:colOff>209550</xdr:colOff>
      <xdr:row>13</xdr:row>
      <xdr:rowOff>37840</xdr:rowOff>
    </xdr:to>
    <xdr:grpSp>
      <xdr:nvGrpSpPr>
        <xdr:cNvPr id="23" name="Group 22"/>
        <xdr:cNvGrpSpPr/>
      </xdr:nvGrpSpPr>
      <xdr:grpSpPr>
        <a:xfrm>
          <a:off x="9497157" y="2451294"/>
          <a:ext cx="717784" cy="1098372"/>
          <a:chOff x="9434794" y="2439600"/>
          <a:chExt cx="725580" cy="1072064"/>
        </a:xfrm>
      </xdr:grpSpPr>
      <xdr:sp macro="[0]!Sheet1.Top" textlink="">
        <xdr:nvSpPr>
          <xdr:cNvPr id="15" name="Rounded Rectangle 14"/>
          <xdr:cNvSpPr/>
        </xdr:nvSpPr>
        <xdr:spPr>
          <a:xfrm>
            <a:off x="9434794" y="2439600"/>
            <a:ext cx="714374" cy="220976"/>
          </a:xfrm>
          <a:prstGeom prst="roundRect">
            <a:avLst/>
          </a:prstGeom>
          <a:ln>
            <a:solidFill>
              <a:srgbClr val="0000FF"/>
            </a:solidFill>
          </a:ln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>
            <a:noAutofit/>
          </a:bodyPr>
          <a:lstStyle/>
          <a:p>
            <a:pPr algn="ctr"/>
            <a:r>
              <a:rPr lang="en-AU" sz="1600" b="1">
                <a:solidFill>
                  <a:srgbClr val="FF0000"/>
                </a:solidFill>
              </a:rPr>
              <a:t>Top</a:t>
            </a:r>
          </a:p>
        </xdr:txBody>
      </xdr:sp>
      <xdr:sp macro="[0]!Sheet1.Side" textlink="">
        <xdr:nvSpPr>
          <xdr:cNvPr id="16" name="Rounded Rectangle 15"/>
          <xdr:cNvSpPr/>
        </xdr:nvSpPr>
        <xdr:spPr>
          <a:xfrm>
            <a:off x="9434794" y="3010540"/>
            <a:ext cx="714374" cy="220976"/>
          </a:xfrm>
          <a:prstGeom prst="roundRect">
            <a:avLst/>
          </a:prstGeom>
          <a:ln>
            <a:solidFill>
              <a:srgbClr val="0000FF"/>
            </a:solidFill>
          </a:ln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>
            <a:noAutofit/>
          </a:bodyPr>
          <a:lstStyle/>
          <a:p>
            <a:pPr algn="ctr"/>
            <a:r>
              <a:rPr lang="en-AU" sz="1600" b="1">
                <a:solidFill>
                  <a:srgbClr val="FF0000"/>
                </a:solidFill>
              </a:rPr>
              <a:t>Side</a:t>
            </a:r>
          </a:p>
        </xdr:txBody>
      </xdr:sp>
      <xdr:sp macro="[0]!Sheet1.Front" textlink="">
        <xdr:nvSpPr>
          <xdr:cNvPr id="17" name="Rounded Rectangle 16"/>
          <xdr:cNvSpPr/>
        </xdr:nvSpPr>
        <xdr:spPr>
          <a:xfrm>
            <a:off x="9434794" y="2725071"/>
            <a:ext cx="714374" cy="220976"/>
          </a:xfrm>
          <a:prstGeom prst="roundRect">
            <a:avLst/>
          </a:prstGeom>
          <a:ln>
            <a:solidFill>
              <a:srgbClr val="0000FF"/>
            </a:solidFill>
          </a:ln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>
            <a:noAutofit/>
          </a:bodyPr>
          <a:lstStyle/>
          <a:p>
            <a:pPr algn="ctr"/>
            <a:r>
              <a:rPr lang="en-AU" sz="1600" b="1">
                <a:solidFill>
                  <a:srgbClr val="FF0000"/>
                </a:solidFill>
              </a:rPr>
              <a:t>Front</a:t>
            </a:r>
          </a:p>
        </xdr:txBody>
      </xdr:sp>
      <xdr:sp macro="[0]!Sheet1.Perspective" textlink="">
        <xdr:nvSpPr>
          <xdr:cNvPr id="19" name="Rounded Rectangle 18"/>
          <xdr:cNvSpPr/>
        </xdr:nvSpPr>
        <xdr:spPr>
          <a:xfrm>
            <a:off x="9446000" y="3290688"/>
            <a:ext cx="714374" cy="220976"/>
          </a:xfrm>
          <a:prstGeom prst="roundRect">
            <a:avLst/>
          </a:prstGeom>
          <a:ln>
            <a:solidFill>
              <a:srgbClr val="0000FF"/>
            </a:solidFill>
          </a:ln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>
            <a:noAutofit/>
          </a:bodyPr>
          <a:lstStyle/>
          <a:p>
            <a:pPr algn="ctr"/>
            <a:r>
              <a:rPr lang="en-AU" sz="1000" b="1">
                <a:solidFill>
                  <a:srgbClr val="FF0000"/>
                </a:solidFill>
              </a:rPr>
              <a:t>Perspective</a:t>
            </a:r>
            <a:endParaRPr lang="en-AU" sz="1600" b="1">
              <a:solidFill>
                <a:srgbClr val="FF0000"/>
              </a:solidFill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19</xdr:row>
          <xdr:rowOff>85725</xdr:rowOff>
        </xdr:from>
        <xdr:to>
          <xdr:col>18</xdr:col>
          <xdr:colOff>200025</xdr:colOff>
          <xdr:row>20</xdr:row>
          <xdr:rowOff>123825</xdr:rowOff>
        </xdr:to>
        <xdr:sp macro="" textlink="">
          <xdr:nvSpPr>
            <xdr:cNvPr id="1027" name="ScrollBar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30</xdr:row>
          <xdr:rowOff>38100</xdr:rowOff>
        </xdr:from>
        <xdr:to>
          <xdr:col>14</xdr:col>
          <xdr:colOff>123825</xdr:colOff>
          <xdr:row>35</xdr:row>
          <xdr:rowOff>104775</xdr:rowOff>
        </xdr:to>
        <xdr:grpSp>
          <xdr:nvGrpSpPr>
            <xdr:cNvPr id="1057" name="Group 33"/>
            <xdr:cNvGrpSpPr>
              <a:grpSpLocks/>
            </xdr:cNvGrpSpPr>
          </xdr:nvGrpSpPr>
          <xdr:grpSpPr bwMode="auto">
            <a:xfrm>
              <a:off x="6709327" y="5985013"/>
              <a:ext cx="1299541" cy="770697"/>
              <a:chOff x="1242" y="667"/>
              <a:chExt cx="243" cy="91"/>
            </a:xfrm>
          </xdr:grpSpPr>
          <xdr:sp macro="" textlink="">
            <xdr:nvSpPr>
              <xdr:cNvPr id="1040" name="Option Button 16" hidden="1">
                <a:extLst>
                  <a:ext uri="{63B3BB69-23CF-44E3-9099-C40C66FF867C}">
                    <a14:compatExt spid="_x0000_s1040"/>
                  </a:ext>
                </a:extLst>
              </xdr:cNvPr>
              <xdr:cNvSpPr/>
            </xdr:nvSpPr>
            <xdr:spPr>
              <a:xfrm>
                <a:off x="1245" y="678"/>
                <a:ext cx="236" cy="27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AU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Black</a:t>
                </a:r>
              </a:p>
            </xdr:txBody>
          </xdr:sp>
          <xdr:sp macro="" textlink="">
            <xdr:nvSpPr>
              <xdr:cNvPr id="1041" name="Option Button 17" hidden="1">
                <a:extLst>
                  <a:ext uri="{63B3BB69-23CF-44E3-9099-C40C66FF867C}">
                    <a14:compatExt spid="_x0000_s1041"/>
                  </a:ext>
                </a:extLst>
              </xdr:cNvPr>
              <xdr:cNvSpPr/>
            </xdr:nvSpPr>
            <xdr:spPr>
              <a:xfrm>
                <a:off x="1245" y="701"/>
                <a:ext cx="236" cy="28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AU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Grey</a:t>
                </a:r>
              </a:p>
            </xdr:txBody>
          </xdr:sp>
          <xdr:sp macro="" textlink="">
            <xdr:nvSpPr>
              <xdr:cNvPr id="1042" name="Option Button 18" hidden="1">
                <a:extLst>
                  <a:ext uri="{63B3BB69-23CF-44E3-9099-C40C66FF867C}">
                    <a14:compatExt spid="_x0000_s1042"/>
                  </a:ext>
                </a:extLst>
              </xdr:cNvPr>
              <xdr:cNvSpPr/>
            </xdr:nvSpPr>
            <xdr:spPr>
              <a:xfrm>
                <a:off x="1245" y="727"/>
                <a:ext cx="236" cy="28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AU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None</a:t>
                </a:r>
              </a:p>
            </xdr:txBody>
          </xdr:sp>
          <xdr:sp macro="" textlink="">
            <xdr:nvSpPr>
              <xdr:cNvPr id="1043" name="Group Box 19" hidden="1">
                <a:extLst>
                  <a:ext uri="{63B3BB69-23CF-44E3-9099-C40C66FF867C}">
                    <a14:compatExt spid="_x0000_s1043"/>
                  </a:ext>
                </a:extLst>
              </xdr:cNvPr>
              <xdr:cNvSpPr/>
            </xdr:nvSpPr>
            <xdr:spPr>
              <a:xfrm>
                <a:off x="1242" y="667"/>
                <a:ext cx="243" cy="91"/>
              </a:xfrm>
              <a:prstGeom prst="rect">
                <a:avLst/>
              </a:prstGeom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en-AU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Wire Color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24</xdr:row>
          <xdr:rowOff>28575</xdr:rowOff>
        </xdr:from>
        <xdr:to>
          <xdr:col>14</xdr:col>
          <xdr:colOff>133350</xdr:colOff>
          <xdr:row>29</xdr:row>
          <xdr:rowOff>0</xdr:rowOff>
        </xdr:to>
        <xdr:grpSp>
          <xdr:nvGrpSpPr>
            <xdr:cNvPr id="1059" name="Group 35"/>
            <xdr:cNvGrpSpPr>
              <a:grpSpLocks/>
            </xdr:cNvGrpSpPr>
          </xdr:nvGrpSpPr>
          <xdr:grpSpPr bwMode="auto">
            <a:xfrm>
              <a:off x="6709327" y="5089249"/>
              <a:ext cx="1309066" cy="716860"/>
              <a:chOff x="841" y="458"/>
              <a:chExt cx="241" cy="101"/>
            </a:xfrm>
          </xdr:grpSpPr>
          <xdr:sp macro="" textlink="">
            <xdr:nvSpPr>
              <xdr:cNvPr id="1033" name="Group Box 9" hidden="1">
                <a:extLst>
                  <a:ext uri="{63B3BB69-23CF-44E3-9099-C40C66FF867C}">
                    <a14:compatExt spid="_x0000_s1033"/>
                  </a:ext>
                </a:extLst>
              </xdr:cNvPr>
              <xdr:cNvSpPr/>
            </xdr:nvSpPr>
            <xdr:spPr>
              <a:xfrm>
                <a:off x="841" y="458"/>
                <a:ext cx="241" cy="101"/>
              </a:xfrm>
              <a:prstGeom prst="rect">
                <a:avLst/>
              </a:prstGeom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en-AU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Pendulum Color</a:t>
                </a:r>
              </a:p>
            </xdr:txBody>
          </xdr:sp>
          <xdr:sp macro="" textlink="">
            <xdr:nvSpPr>
              <xdr:cNvPr id="1050" name="Option Button 26" hidden="1">
                <a:extLst>
                  <a:ext uri="{63B3BB69-23CF-44E3-9099-C40C66FF867C}">
                    <a14:compatExt spid="_x0000_s1050"/>
                  </a:ext>
                </a:extLst>
              </xdr:cNvPr>
              <xdr:cNvSpPr/>
            </xdr:nvSpPr>
            <xdr:spPr>
              <a:xfrm>
                <a:off x="848" y="465"/>
                <a:ext cx="232" cy="22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AU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Colored</a:t>
                </a:r>
              </a:p>
            </xdr:txBody>
          </xdr:sp>
          <xdr:sp macro="" textlink="">
            <xdr:nvSpPr>
              <xdr:cNvPr id="1051" name="Option Button 27" hidden="1">
                <a:extLst>
                  <a:ext uri="{63B3BB69-23CF-44E3-9099-C40C66FF867C}">
                    <a14:compatExt spid="_x0000_s1051"/>
                  </a:ext>
                </a:extLst>
              </xdr:cNvPr>
              <xdr:cNvSpPr/>
            </xdr:nvSpPr>
            <xdr:spPr>
              <a:xfrm>
                <a:off x="848" y="487"/>
                <a:ext cx="232" cy="22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AU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Grey</a:t>
                </a:r>
              </a:p>
            </xdr:txBody>
          </xdr:sp>
          <xdr:sp macro="" textlink="">
            <xdr:nvSpPr>
              <xdr:cNvPr id="1052" name="Option Button 28" hidden="1">
                <a:extLst>
                  <a:ext uri="{63B3BB69-23CF-44E3-9099-C40C66FF867C}">
                    <a14:compatExt spid="_x0000_s1052"/>
                  </a:ext>
                </a:extLst>
              </xdr:cNvPr>
              <xdr:cNvSpPr/>
            </xdr:nvSpPr>
            <xdr:spPr>
              <a:xfrm>
                <a:off x="848" y="510"/>
                <a:ext cx="232" cy="22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AU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Zebra</a:t>
                </a:r>
              </a:p>
            </xdr:txBody>
          </xdr:sp>
          <xdr:sp macro="" textlink="">
            <xdr:nvSpPr>
              <xdr:cNvPr id="1053" name="Option Button 29" hidden="1">
                <a:extLst>
                  <a:ext uri="{63B3BB69-23CF-44E3-9099-C40C66FF867C}">
                    <a14:compatExt spid="_x0000_s1053"/>
                  </a:ext>
                </a:extLst>
              </xdr:cNvPr>
              <xdr:cNvSpPr/>
            </xdr:nvSpPr>
            <xdr:spPr>
              <a:xfrm>
                <a:off x="848" y="532"/>
                <a:ext cx="232" cy="22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AU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Blend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28575</xdr:colOff>
          <xdr:row>10</xdr:row>
          <xdr:rowOff>9525</xdr:rowOff>
        </xdr:from>
        <xdr:to>
          <xdr:col>16</xdr:col>
          <xdr:colOff>428625</xdr:colOff>
          <xdr:row>12</xdr:row>
          <xdr:rowOff>342900</xdr:rowOff>
        </xdr:to>
        <xdr:grpSp>
          <xdr:nvGrpSpPr>
            <xdr:cNvPr id="1060" name="Group 36"/>
            <xdr:cNvGrpSpPr>
              <a:grpSpLocks/>
            </xdr:cNvGrpSpPr>
          </xdr:nvGrpSpPr>
          <xdr:grpSpPr bwMode="auto">
            <a:xfrm>
              <a:off x="7913618" y="2452895"/>
              <a:ext cx="1460224" cy="1045679"/>
              <a:chOff x="816" y="284"/>
              <a:chExt cx="154" cy="109"/>
            </a:xfrm>
          </xdr:grpSpPr>
          <xdr:sp macro="" textlink="">
            <xdr:nvSpPr>
              <xdr:cNvPr id="1054" name="ScrollBar4" hidden="1">
                <a:extLst>
                  <a:ext uri="{63B3BB69-23CF-44E3-9099-C40C66FF867C}">
                    <a14:compatExt spid="_x0000_s1054"/>
                  </a:ext>
                </a:extLst>
              </xdr:cNvPr>
              <xdr:cNvSpPr/>
            </xdr:nvSpPr>
            <xdr:spPr>
              <a:xfrm>
                <a:off x="816" y="284"/>
                <a:ext cx="153" cy="35"/>
              </a:xfrm>
              <a:prstGeom prst="rect">
                <a:avLst/>
              </a:prstGeom>
            </xdr:spPr>
          </xdr:sp>
          <xdr:sp macro="" textlink="">
            <xdr:nvSpPr>
              <xdr:cNvPr id="1055" name="ScrollBar2" hidden="1">
                <a:extLst>
                  <a:ext uri="{63B3BB69-23CF-44E3-9099-C40C66FF867C}">
                    <a14:compatExt spid="_x0000_s1055"/>
                  </a:ext>
                </a:extLst>
              </xdr:cNvPr>
              <xdr:cNvSpPr/>
            </xdr:nvSpPr>
            <xdr:spPr>
              <a:xfrm>
                <a:off x="816" y="321"/>
                <a:ext cx="153" cy="35"/>
              </a:xfrm>
              <a:prstGeom prst="rect">
                <a:avLst/>
              </a:prstGeom>
            </xdr:spPr>
          </xdr:sp>
          <xdr:sp macro="" textlink="">
            <xdr:nvSpPr>
              <xdr:cNvPr id="1056" name="ScrollBar3" hidden="1">
                <a:extLst>
                  <a:ext uri="{63B3BB69-23CF-44E3-9099-C40C66FF867C}">
                    <a14:compatExt spid="_x0000_s1056"/>
                  </a:ext>
                </a:extLst>
              </xdr:cNvPr>
              <xdr:cNvSpPr/>
            </xdr:nvSpPr>
            <xdr:spPr>
              <a:xfrm>
                <a:off x="817" y="358"/>
                <a:ext cx="153" cy="35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352419</xdr:colOff>
          <xdr:row>24</xdr:row>
          <xdr:rowOff>28575</xdr:rowOff>
        </xdr:from>
        <xdr:to>
          <xdr:col>17</xdr:col>
          <xdr:colOff>95243</xdr:colOff>
          <xdr:row>28</xdr:row>
          <xdr:rowOff>123825</xdr:rowOff>
        </xdr:to>
        <xdr:grpSp>
          <xdr:nvGrpSpPr>
            <xdr:cNvPr id="1066" name="Group 42"/>
            <xdr:cNvGrpSpPr>
              <a:grpSpLocks/>
            </xdr:cNvGrpSpPr>
          </xdr:nvGrpSpPr>
          <xdr:grpSpPr bwMode="auto">
            <a:xfrm>
              <a:off x="8237462" y="5089249"/>
              <a:ext cx="1333085" cy="699880"/>
              <a:chOff x="869" y="535"/>
              <a:chExt cx="141" cy="74"/>
            </a:xfrm>
          </xdr:grpSpPr>
          <xdr:grpSp>
            <xdr:nvGrpSpPr>
              <xdr:cNvPr id="1064" name="Group 40"/>
              <xdr:cNvGrpSpPr>
                <a:grpSpLocks/>
              </xdr:cNvGrpSpPr>
            </xdr:nvGrpSpPr>
            <xdr:grpSpPr bwMode="auto">
              <a:xfrm>
                <a:off x="889" y="552"/>
                <a:ext cx="87" cy="50"/>
                <a:chOff x="888" y="536"/>
                <a:chExt cx="87" cy="50"/>
              </a:xfrm>
            </xdr:grpSpPr>
            <xdr:sp macro="" textlink="">
              <xdr:nvSpPr>
                <xdr:cNvPr id="1062" name="Check Box 38" hidden="1">
                  <a:extLst>
                    <a:ext uri="{63B3BB69-23CF-44E3-9099-C40C66FF867C}">
                      <a14:compatExt spid="_x0000_s1062"/>
                    </a:ext>
                  </a:extLst>
                </xdr:cNvPr>
                <xdr:cNvSpPr/>
              </xdr:nvSpPr>
              <xdr:spPr>
                <a:xfrm>
                  <a:off x="888" y="536"/>
                  <a:ext cx="87" cy="21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en-AU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Show Frame</a:t>
                  </a:r>
                </a:p>
              </xdr:txBody>
            </xdr:sp>
            <xdr:sp macro="" textlink="">
              <xdr:nvSpPr>
                <xdr:cNvPr id="1063" name="Check Box 39" hidden="1">
                  <a:extLst>
                    <a:ext uri="{63B3BB69-23CF-44E3-9099-C40C66FF867C}">
                      <a14:compatExt spid="_x0000_s1063"/>
                    </a:ext>
                  </a:extLst>
                </xdr:cNvPr>
                <xdr:cNvSpPr/>
              </xdr:nvSpPr>
              <xdr:spPr>
                <a:xfrm>
                  <a:off x="888" y="565"/>
                  <a:ext cx="87" cy="21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en-AU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Show  Axis</a:t>
                  </a:r>
                </a:p>
              </xdr:txBody>
            </xdr:sp>
          </xdr:grpSp>
          <xdr:sp macro="" textlink="">
            <xdr:nvSpPr>
              <xdr:cNvPr id="1065" name="Group Box 41" hidden="1">
                <a:extLst>
                  <a:ext uri="{63B3BB69-23CF-44E3-9099-C40C66FF867C}">
                    <a14:compatExt spid="_x0000_s1065"/>
                  </a:ext>
                </a:extLst>
              </xdr:cNvPr>
              <xdr:cNvSpPr/>
            </xdr:nvSpPr>
            <xdr:spPr>
              <a:xfrm>
                <a:off x="869" y="535"/>
                <a:ext cx="141" cy="74"/>
              </a:xfrm>
              <a:prstGeom prst="rect">
                <a:avLst/>
              </a:prstGeom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en-AU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Structures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438150</xdr:colOff>
          <xdr:row>30</xdr:row>
          <xdr:rowOff>104775</xdr:rowOff>
        </xdr:from>
        <xdr:to>
          <xdr:col>18</xdr:col>
          <xdr:colOff>219075</xdr:colOff>
          <xdr:row>32</xdr:row>
          <xdr:rowOff>28575</xdr:rowOff>
        </xdr:to>
        <xdr:sp macro="" textlink="">
          <xdr:nvSpPr>
            <xdr:cNvPr id="2" name="Check Box 42" hidden="1">
              <a:extLst>
                <a:ext uri="{63B3BB69-23CF-44E3-9099-C40C66FF867C}">
                  <a14:compatExt spid="_x0000_s10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Animate Y Axis Rotation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.xml"/><Relationship Id="rId13" Type="http://schemas.openxmlformats.org/officeDocument/2006/relationships/ctrlProp" Target="../ctrlProps/ctrlProp2.xml"/><Relationship Id="rId18" Type="http://schemas.openxmlformats.org/officeDocument/2006/relationships/ctrlProp" Target="../ctrlProps/ctrlProp7.xml"/><Relationship Id="rId3" Type="http://schemas.openxmlformats.org/officeDocument/2006/relationships/printerSettings" Target="../printerSettings/printerSettings1.bin"/><Relationship Id="rId21" Type="http://schemas.openxmlformats.org/officeDocument/2006/relationships/ctrlProp" Target="../ctrlProps/ctrlProp10.xml"/><Relationship Id="rId7" Type="http://schemas.openxmlformats.org/officeDocument/2006/relationships/image" Target="../media/image1.emf"/><Relationship Id="rId12" Type="http://schemas.openxmlformats.org/officeDocument/2006/relationships/ctrlProp" Target="../ctrlProps/ctrlProp1.xml"/><Relationship Id="rId17" Type="http://schemas.openxmlformats.org/officeDocument/2006/relationships/ctrlProp" Target="../ctrlProps/ctrlProp6.xml"/><Relationship Id="rId25" Type="http://schemas.openxmlformats.org/officeDocument/2006/relationships/comments" Target="../comments1.xml"/><Relationship Id="rId2" Type="http://schemas.openxmlformats.org/officeDocument/2006/relationships/hyperlink" Target="http://newtonexcelbach.wordpress.com/2011/05/30/dynamically-defined-dancing-pendulums/" TargetMode="External"/><Relationship Id="rId16" Type="http://schemas.openxmlformats.org/officeDocument/2006/relationships/ctrlProp" Target="../ctrlProps/ctrlProp5.xml"/><Relationship Id="rId20" Type="http://schemas.openxmlformats.org/officeDocument/2006/relationships/ctrlProp" Target="../ctrlProps/ctrlProp9.xml"/><Relationship Id="rId1" Type="http://schemas.openxmlformats.org/officeDocument/2006/relationships/hyperlink" Target="http://www.andypope.info/charts/3drotate.htm" TargetMode="External"/><Relationship Id="rId6" Type="http://schemas.openxmlformats.org/officeDocument/2006/relationships/control" Target="../activeX/activeX1.xml"/><Relationship Id="rId11" Type="http://schemas.openxmlformats.org/officeDocument/2006/relationships/image" Target="../media/image2.emf"/><Relationship Id="rId24" Type="http://schemas.openxmlformats.org/officeDocument/2006/relationships/ctrlProp" Target="../ctrlProps/ctrlProp13.xml"/><Relationship Id="rId5" Type="http://schemas.openxmlformats.org/officeDocument/2006/relationships/vmlDrawing" Target="../drawings/vmlDrawing1.vml"/><Relationship Id="rId15" Type="http://schemas.openxmlformats.org/officeDocument/2006/relationships/ctrlProp" Target="../ctrlProps/ctrlProp4.xml"/><Relationship Id="rId23" Type="http://schemas.openxmlformats.org/officeDocument/2006/relationships/ctrlProp" Target="../ctrlProps/ctrlProp12.xml"/><Relationship Id="rId10" Type="http://schemas.openxmlformats.org/officeDocument/2006/relationships/control" Target="../activeX/activeX4.xml"/><Relationship Id="rId19" Type="http://schemas.openxmlformats.org/officeDocument/2006/relationships/ctrlProp" Target="../ctrlProps/ctrlProp8.xml"/><Relationship Id="rId4" Type="http://schemas.openxmlformats.org/officeDocument/2006/relationships/drawing" Target="../drawings/drawing1.xml"/><Relationship Id="rId9" Type="http://schemas.openxmlformats.org/officeDocument/2006/relationships/control" Target="../activeX/activeX3.xml"/><Relationship Id="rId14" Type="http://schemas.openxmlformats.org/officeDocument/2006/relationships/ctrlProp" Target="../ctrlProps/ctrlProp3.xml"/><Relationship Id="rId22" Type="http://schemas.openxmlformats.org/officeDocument/2006/relationships/ctrlProp" Target="../ctrlProps/ctrlProp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W557"/>
  <sheetViews>
    <sheetView tabSelected="1" zoomScale="115" zoomScaleNormal="115" workbookViewId="0"/>
  </sheetViews>
  <sheetFormatPr defaultRowHeight="11.25" x14ac:dyDescent="0.2"/>
  <cols>
    <col min="1" max="1" width="10.33203125" customWidth="1"/>
    <col min="2" max="2" width="9" customWidth="1"/>
    <col min="3" max="3" width="13.5" customWidth="1"/>
    <col min="4" max="4" width="9.33203125" customWidth="1"/>
    <col min="13" max="13" width="12.5" customWidth="1"/>
    <col min="16" max="16" width="9.33203125" customWidth="1"/>
    <col min="22" max="22" width="46.5" customWidth="1"/>
    <col min="27" max="27" width="12.83203125" bestFit="1" customWidth="1"/>
    <col min="43" max="43" width="165.6640625" customWidth="1"/>
  </cols>
  <sheetData>
    <row r="1" spans="1:49" ht="11.25" customHeight="1" thickBot="1" x14ac:dyDescent="0.3">
      <c r="A1" s="9"/>
      <c r="B1" s="8"/>
      <c r="C1" s="8"/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</row>
    <row r="2" spans="1:49" ht="24" thickTop="1" x14ac:dyDescent="0.35">
      <c r="A2" s="28"/>
      <c r="B2" s="29"/>
      <c r="C2" s="29"/>
      <c r="D2" s="29"/>
      <c r="E2" s="29"/>
      <c r="F2" s="29"/>
      <c r="G2" s="29"/>
      <c r="H2" s="29"/>
      <c r="I2" s="29"/>
      <c r="J2" s="29"/>
      <c r="K2" s="29"/>
      <c r="L2" s="29"/>
      <c r="M2" s="29"/>
      <c r="N2" s="29"/>
      <c r="O2" s="30"/>
      <c r="P2" s="30"/>
      <c r="Q2" s="30"/>
      <c r="R2" s="30"/>
      <c r="S2" s="3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</row>
    <row r="3" spans="1:49" ht="23.25" x14ac:dyDescent="0.35">
      <c r="A3" s="32"/>
      <c r="B3" s="33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5"/>
      <c r="T3" s="1"/>
      <c r="U3" s="1"/>
      <c r="V3" s="1"/>
      <c r="W3" s="1"/>
      <c r="X3" s="1"/>
      <c r="Y3" s="1"/>
      <c r="Z3" s="1"/>
      <c r="AA3" s="48" t="s">
        <v>16</v>
      </c>
      <c r="AB3" s="53">
        <v>0.02</v>
      </c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</row>
    <row r="4" spans="1:49" s="17" customFormat="1" ht="12.75" x14ac:dyDescent="0.2">
      <c r="A4" s="36"/>
      <c r="B4" s="37"/>
      <c r="C4" s="38"/>
      <c r="D4" s="38"/>
      <c r="E4" s="38"/>
      <c r="F4" s="38"/>
      <c r="G4" s="38"/>
      <c r="H4" s="38"/>
      <c r="I4" s="38"/>
      <c r="J4" s="38"/>
      <c r="K4" s="38"/>
      <c r="L4" s="38"/>
      <c r="M4" s="38"/>
      <c r="N4" s="38"/>
      <c r="O4" s="38"/>
      <c r="P4" s="38"/>
      <c r="Q4" s="39"/>
      <c r="R4" s="38"/>
      <c r="S4" s="40"/>
      <c r="T4" s="15"/>
      <c r="U4" s="15"/>
      <c r="V4" s="15"/>
      <c r="W4" s="16"/>
      <c r="X4" s="16"/>
      <c r="Y4" s="16"/>
      <c r="Z4" s="16"/>
      <c r="AA4" s="77" t="s">
        <v>17</v>
      </c>
      <c r="AB4" s="54">
        <v>15</v>
      </c>
      <c r="AC4" s="16"/>
      <c r="AD4" s="16"/>
      <c r="AE4" s="16"/>
      <c r="AF4" s="16"/>
      <c r="AG4" s="1"/>
      <c r="AH4" s="1"/>
      <c r="AI4" s="1"/>
      <c r="AJ4" s="1"/>
      <c r="AK4" s="1"/>
      <c r="AL4" s="1"/>
      <c r="AM4" s="1"/>
      <c r="AN4" s="1"/>
      <c r="AO4" s="16"/>
      <c r="AP4" s="16"/>
      <c r="AQ4" s="16"/>
      <c r="AR4" s="16"/>
      <c r="AS4" s="16"/>
      <c r="AT4" s="16"/>
      <c r="AU4" s="16"/>
      <c r="AV4" s="16"/>
      <c r="AW4" s="16"/>
    </row>
    <row r="5" spans="1:49" ht="21" x14ac:dyDescent="0.35">
      <c r="A5" s="41"/>
      <c r="B5" s="37"/>
      <c r="C5" s="38"/>
      <c r="D5" s="38"/>
      <c r="E5" s="34"/>
      <c r="F5" s="38"/>
      <c r="G5" s="42" t="s">
        <v>6</v>
      </c>
      <c r="H5" s="18">
        <v>0.02</v>
      </c>
      <c r="I5" s="43" t="s">
        <v>8</v>
      </c>
      <c r="J5" s="38"/>
      <c r="K5" s="38"/>
      <c r="L5" s="34"/>
      <c r="M5" s="34"/>
      <c r="N5" s="38"/>
      <c r="O5" s="42" t="s">
        <v>12</v>
      </c>
      <c r="P5" s="57" t="s">
        <v>13</v>
      </c>
      <c r="Q5" s="34"/>
      <c r="R5" s="34"/>
      <c r="S5" s="35"/>
      <c r="T5" s="1"/>
      <c r="U5" s="1"/>
      <c r="V5" s="1"/>
      <c r="W5" s="1"/>
      <c r="X5" s="1"/>
      <c r="Y5" s="1"/>
      <c r="Z5" s="1"/>
      <c r="AA5" s="48" t="s">
        <v>1</v>
      </c>
      <c r="AB5" s="54">
        <v>981.42</v>
      </c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</row>
    <row r="6" spans="1:49" ht="21" x14ac:dyDescent="0.35">
      <c r="A6" s="41"/>
      <c r="B6" s="37"/>
      <c r="C6" s="38"/>
      <c r="D6" s="38"/>
      <c r="E6" s="34"/>
      <c r="F6" s="38"/>
      <c r="G6" s="42" t="s">
        <v>3</v>
      </c>
      <c r="H6" s="19">
        <v>25</v>
      </c>
      <c r="I6" s="43" t="s">
        <v>2</v>
      </c>
      <c r="J6" s="38"/>
      <c r="K6" s="38"/>
      <c r="L6" s="34"/>
      <c r="M6" s="34"/>
      <c r="N6" s="38"/>
      <c r="O6" s="42" t="s">
        <v>7</v>
      </c>
      <c r="P6" s="44" t="s">
        <v>11</v>
      </c>
      <c r="Q6" s="34"/>
      <c r="R6" s="34"/>
      <c r="S6" s="35"/>
      <c r="T6" s="1"/>
      <c r="U6" s="1"/>
      <c r="V6" s="1"/>
      <c r="W6" s="1"/>
      <c r="X6" s="1"/>
      <c r="Y6" s="1"/>
      <c r="Z6" s="1"/>
      <c r="AA6" s="48" t="s">
        <v>33</v>
      </c>
      <c r="AB6" s="54" t="b">
        <v>0</v>
      </c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</row>
    <row r="7" spans="1:49" ht="23.25" x14ac:dyDescent="0.35">
      <c r="A7" s="41"/>
      <c r="B7" s="37"/>
      <c r="C7" s="38"/>
      <c r="D7" s="38"/>
      <c r="E7" s="34"/>
      <c r="F7" s="38"/>
      <c r="G7" s="42" t="s">
        <v>1</v>
      </c>
      <c r="H7" s="19">
        <f>+AB5</f>
        <v>981.42</v>
      </c>
      <c r="I7" s="43" t="s">
        <v>24</v>
      </c>
      <c r="J7" s="38"/>
      <c r="K7" s="38"/>
      <c r="L7" s="34"/>
      <c r="M7" s="34"/>
      <c r="N7" s="38"/>
      <c r="O7" s="42" t="s">
        <v>22</v>
      </c>
      <c r="P7" s="44" t="s">
        <v>23</v>
      </c>
      <c r="Q7" s="34"/>
      <c r="R7" s="34"/>
      <c r="S7" s="35"/>
      <c r="T7" s="1"/>
      <c r="U7" s="1"/>
      <c r="V7" s="1"/>
      <c r="W7" s="1"/>
      <c r="X7" s="1"/>
      <c r="Y7" s="1"/>
      <c r="Z7" s="1"/>
      <c r="AA7" s="48" t="s">
        <v>18</v>
      </c>
      <c r="AB7" s="54" t="b">
        <v>0</v>
      </c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</row>
    <row r="8" spans="1:49" ht="21" x14ac:dyDescent="0.35">
      <c r="A8" s="41"/>
      <c r="B8" s="37"/>
      <c r="C8" s="38"/>
      <c r="D8" s="38"/>
      <c r="E8" s="34"/>
      <c r="F8" s="38"/>
      <c r="G8" s="42" t="s">
        <v>14</v>
      </c>
      <c r="H8" s="20">
        <v>10</v>
      </c>
      <c r="I8" s="43" t="s">
        <v>15</v>
      </c>
      <c r="J8" s="38"/>
      <c r="K8" s="38"/>
      <c r="L8" s="34"/>
      <c r="M8" s="34"/>
      <c r="N8" s="34"/>
      <c r="O8" s="34"/>
      <c r="P8" s="34"/>
      <c r="Q8" s="34"/>
      <c r="R8" s="34"/>
      <c r="S8" s="35"/>
      <c r="T8" s="1"/>
      <c r="U8" s="1"/>
      <c r="V8" s="1"/>
      <c r="W8" s="1"/>
      <c r="X8" s="1"/>
      <c r="Y8" s="1"/>
      <c r="Z8" s="1"/>
      <c r="AA8" s="48" t="s">
        <v>9</v>
      </c>
      <c r="AB8" s="54">
        <v>1</v>
      </c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</row>
    <row r="9" spans="1:49" ht="23.25" x14ac:dyDescent="0.35">
      <c r="A9" s="32"/>
      <c r="B9" s="33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5"/>
      <c r="T9" s="1"/>
      <c r="U9" s="1"/>
      <c r="V9" s="1"/>
      <c r="W9" s="1"/>
      <c r="X9" s="1"/>
      <c r="Y9" s="1"/>
      <c r="Z9" s="1"/>
      <c r="AA9" s="48" t="s">
        <v>10</v>
      </c>
      <c r="AB9" s="54">
        <v>1</v>
      </c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</row>
    <row r="10" spans="1:49" x14ac:dyDescent="0.2">
      <c r="A10" s="41"/>
      <c r="B10" s="34"/>
      <c r="C10" s="34"/>
      <c r="D10" s="34"/>
      <c r="E10" s="34"/>
      <c r="F10" s="34"/>
      <c r="G10" s="34"/>
      <c r="H10" s="34"/>
      <c r="I10" s="34"/>
      <c r="J10" s="34"/>
      <c r="K10" s="34"/>
      <c r="L10" s="34"/>
      <c r="M10" s="34"/>
      <c r="N10" s="34"/>
      <c r="O10" s="34"/>
      <c r="P10" s="34"/>
      <c r="Q10" s="34"/>
      <c r="R10" s="34"/>
      <c r="S10" s="35"/>
      <c r="T10" s="1"/>
      <c r="U10" s="1"/>
      <c r="V10" s="1"/>
      <c r="W10" s="1"/>
      <c r="X10" s="1"/>
      <c r="Y10" s="1"/>
      <c r="Z10" s="1"/>
      <c r="AA10" s="78" t="s">
        <v>31</v>
      </c>
      <c r="AB10" s="54" t="b">
        <v>1</v>
      </c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</row>
    <row r="11" spans="1:49" ht="27.75" customHeight="1" x14ac:dyDescent="0.35">
      <c r="A11" s="41"/>
      <c r="B11" s="34"/>
      <c r="C11" s="34"/>
      <c r="D11" s="34"/>
      <c r="E11" s="34"/>
      <c r="F11" s="34"/>
      <c r="G11" s="34"/>
      <c r="H11" s="34"/>
      <c r="I11" s="34"/>
      <c r="J11" s="34"/>
      <c r="K11" s="34"/>
      <c r="L11" s="34"/>
      <c r="M11" s="45" t="s">
        <v>19</v>
      </c>
      <c r="N11" s="21">
        <v>0</v>
      </c>
      <c r="O11" s="34"/>
      <c r="P11" s="34"/>
      <c r="Q11" s="34"/>
      <c r="R11" s="34"/>
      <c r="S11" s="35"/>
      <c r="T11" s="1"/>
      <c r="U11" s="1"/>
      <c r="V11" s="1"/>
      <c r="W11" s="1"/>
      <c r="X11" s="1"/>
      <c r="Y11" s="1"/>
      <c r="Z11" s="1"/>
      <c r="AA11" s="78" t="s">
        <v>32</v>
      </c>
      <c r="AB11" s="55" t="b">
        <v>1</v>
      </c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</row>
    <row r="12" spans="1:49" ht="27.75" customHeight="1" x14ac:dyDescent="0.45">
      <c r="A12" s="41"/>
      <c r="B12" s="34"/>
      <c r="C12" s="34"/>
      <c r="D12" s="34"/>
      <c r="E12" s="34"/>
      <c r="F12" s="34"/>
      <c r="G12" s="34"/>
      <c r="H12" s="34"/>
      <c r="I12" s="34"/>
      <c r="J12" s="34"/>
      <c r="K12" s="34"/>
      <c r="L12" s="34"/>
      <c r="M12" s="45" t="s">
        <v>20</v>
      </c>
      <c r="N12" s="22">
        <v>0</v>
      </c>
      <c r="O12" s="34"/>
      <c r="P12" s="34"/>
      <c r="Q12" s="34"/>
      <c r="R12" s="34"/>
      <c r="S12" s="35"/>
      <c r="T12" s="1"/>
      <c r="U12" s="1"/>
      <c r="V12" s="1"/>
      <c r="W12" s="1"/>
      <c r="X12" s="1"/>
      <c r="Y12" s="1"/>
      <c r="Z12" s="1"/>
      <c r="AA12" s="5" t="s">
        <v>0</v>
      </c>
      <c r="AB12" s="6" t="s">
        <v>4</v>
      </c>
      <c r="AC12" s="5" t="s">
        <v>5</v>
      </c>
      <c r="AD12" s="1"/>
      <c r="AE12" s="1"/>
      <c r="AF12" s="14"/>
      <c r="AG12" s="13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</row>
    <row r="13" spans="1:49" ht="27.75" customHeight="1" x14ac:dyDescent="0.45">
      <c r="A13" s="41"/>
      <c r="B13" s="34"/>
      <c r="C13" s="34"/>
      <c r="D13" s="34"/>
      <c r="E13" s="34"/>
      <c r="F13" s="34"/>
      <c r="G13" s="34"/>
      <c r="H13" s="34"/>
      <c r="I13" s="34"/>
      <c r="J13" s="34"/>
      <c r="K13" s="34"/>
      <c r="L13" s="34"/>
      <c r="M13" s="45" t="s">
        <v>21</v>
      </c>
      <c r="N13" s="23">
        <v>0</v>
      </c>
      <c r="O13" s="34"/>
      <c r="P13" s="34"/>
      <c r="Q13" s="34"/>
      <c r="R13" s="34"/>
      <c r="S13" s="35"/>
      <c r="T13" s="1"/>
      <c r="U13" s="1"/>
      <c r="V13" s="1"/>
      <c r="W13" s="1"/>
      <c r="X13" s="1"/>
      <c r="Y13" s="1"/>
      <c r="Z13" s="1"/>
      <c r="AA13" s="3">
        <v>1</v>
      </c>
      <c r="AB13" s="4">
        <v>60</v>
      </c>
      <c r="AC13" s="10">
        <v>31</v>
      </c>
      <c r="AD13" s="1"/>
      <c r="AE13" s="1"/>
      <c r="AF13" s="14"/>
      <c r="AG13" s="13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</row>
    <row r="14" spans="1:49" x14ac:dyDescent="0.2">
      <c r="A14" s="41"/>
      <c r="B14" s="34"/>
      <c r="C14" s="34"/>
      <c r="D14" s="34"/>
      <c r="E14" s="34"/>
      <c r="F14" s="34"/>
      <c r="G14" s="34"/>
      <c r="H14" s="34"/>
      <c r="I14" s="34"/>
      <c r="J14" s="34"/>
      <c r="K14" s="34"/>
      <c r="L14" s="34"/>
      <c r="M14" s="34"/>
      <c r="N14" s="34"/>
      <c r="O14" s="34"/>
      <c r="P14" s="34"/>
      <c r="Q14" s="34"/>
      <c r="R14" s="34"/>
      <c r="S14" s="35"/>
      <c r="T14" s="1"/>
      <c r="U14" s="1"/>
      <c r="V14" s="1"/>
      <c r="W14" s="1"/>
      <c r="X14" s="1"/>
      <c r="Y14" s="1"/>
      <c r="Z14" s="1"/>
      <c r="AA14" s="3">
        <v>2</v>
      </c>
      <c r="AB14" s="4">
        <f t="shared" ref="AB14:AB28" si="0">$AB$13*($AC$13/AC14)^2</f>
        <v>52.947658402203864</v>
      </c>
      <c r="AC14" s="11">
        <v>33</v>
      </c>
      <c r="AD14" s="1"/>
      <c r="AE14" s="1"/>
      <c r="AF14" s="2"/>
      <c r="AG14" s="7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</row>
    <row r="15" spans="1:49" x14ac:dyDescent="0.2">
      <c r="A15" s="41"/>
      <c r="B15" s="34"/>
      <c r="C15" s="34"/>
      <c r="D15" s="34"/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34"/>
      <c r="Q15" s="34"/>
      <c r="R15" s="34"/>
      <c r="S15" s="35"/>
      <c r="T15" s="1"/>
      <c r="U15" s="1"/>
      <c r="V15" s="1"/>
      <c r="W15" s="1"/>
      <c r="X15" s="1"/>
      <c r="Y15" s="1"/>
      <c r="Z15" s="1"/>
      <c r="AA15" s="3">
        <v>3</v>
      </c>
      <c r="AB15" s="4">
        <f t="shared" si="0"/>
        <v>47.069387755102042</v>
      </c>
      <c r="AC15" s="3">
        <f t="shared" ref="AC15:AC28" si="1">+AC14+($AC$14-$AC$13)</f>
        <v>35</v>
      </c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</row>
    <row r="16" spans="1:49" x14ac:dyDescent="0.2">
      <c r="A16" s="41"/>
      <c r="B16" s="34"/>
      <c r="C16" s="34"/>
      <c r="D16" s="34"/>
      <c r="E16" s="34"/>
      <c r="F16" s="34"/>
      <c r="G16" s="34"/>
      <c r="H16" s="34"/>
      <c r="I16" s="34"/>
      <c r="J16" s="34"/>
      <c r="K16" s="34"/>
      <c r="L16" s="34"/>
      <c r="M16" s="34"/>
      <c r="N16" s="34"/>
      <c r="O16" s="34"/>
      <c r="P16" s="34"/>
      <c r="Q16" s="34"/>
      <c r="R16" s="34"/>
      <c r="S16" s="35"/>
      <c r="T16" s="1"/>
      <c r="U16" s="1"/>
      <c r="V16" s="1"/>
      <c r="W16" s="1"/>
      <c r="X16" s="1"/>
      <c r="Y16" s="1"/>
      <c r="Z16" s="1"/>
      <c r="AA16" s="3">
        <v>4</v>
      </c>
      <c r="AB16" s="4">
        <f t="shared" si="0"/>
        <v>42.118334550766981</v>
      </c>
      <c r="AC16" s="3">
        <f t="shared" si="1"/>
        <v>37</v>
      </c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</row>
    <row r="17" spans="1:49" x14ac:dyDescent="0.2">
      <c r="A17" s="41"/>
      <c r="B17" s="34"/>
      <c r="C17" s="34"/>
      <c r="D17" s="34"/>
      <c r="E17" s="34"/>
      <c r="F17" s="34"/>
      <c r="G17" s="34"/>
      <c r="H17" s="34"/>
      <c r="I17" s="34"/>
      <c r="J17" s="34"/>
      <c r="K17" s="34"/>
      <c r="L17" s="34"/>
      <c r="M17" s="34"/>
      <c r="N17" s="34"/>
      <c r="O17" s="34"/>
      <c r="P17" s="34"/>
      <c r="Q17" s="34"/>
      <c r="R17" s="34"/>
      <c r="S17" s="35"/>
      <c r="T17" s="1"/>
      <c r="U17" s="1"/>
      <c r="V17" s="1"/>
      <c r="W17" s="1"/>
      <c r="X17" s="1"/>
      <c r="Y17" s="1"/>
      <c r="Z17" s="1"/>
      <c r="AA17" s="3">
        <v>5</v>
      </c>
      <c r="AB17" s="4">
        <f t="shared" si="0"/>
        <v>37.909270216962518</v>
      </c>
      <c r="AC17" s="3">
        <f t="shared" si="1"/>
        <v>39</v>
      </c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</row>
    <row r="18" spans="1:49" x14ac:dyDescent="0.2">
      <c r="A18" s="41"/>
      <c r="B18" s="34"/>
      <c r="C18" s="34"/>
      <c r="D18" s="34"/>
      <c r="E18" s="34"/>
      <c r="F18" s="34"/>
      <c r="G18" s="34"/>
      <c r="H18" s="34"/>
      <c r="I18" s="34"/>
      <c r="J18" s="34"/>
      <c r="K18" s="34"/>
      <c r="L18" s="34"/>
      <c r="M18" s="34"/>
      <c r="N18" s="34"/>
      <c r="O18" s="34"/>
      <c r="P18" s="34"/>
      <c r="Q18" s="34"/>
      <c r="R18" s="34"/>
      <c r="S18" s="35"/>
      <c r="T18" s="1"/>
      <c r="U18" s="1"/>
      <c r="V18" s="1"/>
      <c r="W18" s="1"/>
      <c r="X18" s="1"/>
      <c r="Y18" s="1"/>
      <c r="Z18" s="1"/>
      <c r="AA18" s="3">
        <v>6</v>
      </c>
      <c r="AB18" s="4">
        <f t="shared" si="0"/>
        <v>34.301011302795956</v>
      </c>
      <c r="AC18" s="3">
        <f t="shared" si="1"/>
        <v>41</v>
      </c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</row>
    <row r="19" spans="1:49" x14ac:dyDescent="0.2">
      <c r="A19" s="41"/>
      <c r="B19" s="34"/>
      <c r="C19" s="34"/>
      <c r="D19" s="34"/>
      <c r="E19" s="34"/>
      <c r="F19" s="34"/>
      <c r="G19" s="34"/>
      <c r="H19" s="34"/>
      <c r="I19" s="34"/>
      <c r="J19" s="34"/>
      <c r="K19" s="34"/>
      <c r="L19" s="34"/>
      <c r="M19" s="34"/>
      <c r="N19" s="34"/>
      <c r="O19" s="34"/>
      <c r="P19" s="34"/>
      <c r="Q19" s="34"/>
      <c r="R19" s="34"/>
      <c r="S19" s="35"/>
      <c r="T19" s="1"/>
      <c r="U19" s="1"/>
      <c r="V19" s="1"/>
      <c r="W19" s="1"/>
      <c r="X19" s="1"/>
      <c r="Y19" s="1"/>
      <c r="Z19" s="1"/>
      <c r="AA19" s="3">
        <v>7</v>
      </c>
      <c r="AB19" s="4">
        <f t="shared" si="0"/>
        <v>31.184424012979981</v>
      </c>
      <c r="AC19" s="3">
        <f t="shared" si="1"/>
        <v>43</v>
      </c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</row>
    <row r="20" spans="1:49" x14ac:dyDescent="0.2">
      <c r="A20" s="41"/>
      <c r="B20" s="34"/>
      <c r="C20" s="34"/>
      <c r="D20" s="34"/>
      <c r="E20" s="34"/>
      <c r="F20" s="34"/>
      <c r="G20" s="34"/>
      <c r="H20" s="34"/>
      <c r="I20" s="34"/>
      <c r="J20" s="34"/>
      <c r="K20" s="34"/>
      <c r="L20" s="34"/>
      <c r="M20" s="34"/>
      <c r="N20" s="34"/>
      <c r="O20" s="34"/>
      <c r="P20" s="34"/>
      <c r="Q20" s="34"/>
      <c r="R20" s="34"/>
      <c r="S20" s="35"/>
      <c r="T20" s="1"/>
      <c r="U20" s="1"/>
      <c r="V20" s="1"/>
      <c r="W20" s="1"/>
      <c r="X20" s="1"/>
      <c r="Y20" s="1"/>
      <c r="Z20" s="1"/>
      <c r="AA20" s="3">
        <v>8</v>
      </c>
      <c r="AB20" s="4">
        <f t="shared" si="0"/>
        <v>28.474074074074071</v>
      </c>
      <c r="AC20" s="3">
        <f t="shared" si="1"/>
        <v>45</v>
      </c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</row>
    <row r="21" spans="1:49" x14ac:dyDescent="0.2">
      <c r="A21" s="41"/>
      <c r="B21" s="34"/>
      <c r="C21" s="34"/>
      <c r="D21" s="34"/>
      <c r="E21" s="34"/>
      <c r="F21" s="34"/>
      <c r="G21" s="34"/>
      <c r="H21" s="34"/>
      <c r="I21" s="34"/>
      <c r="J21" s="34"/>
      <c r="K21" s="34"/>
      <c r="L21" s="34"/>
      <c r="M21" s="34"/>
      <c r="N21" s="34"/>
      <c r="O21" s="34"/>
      <c r="P21" s="34"/>
      <c r="Q21" s="34"/>
      <c r="R21" s="34"/>
      <c r="S21" s="35"/>
      <c r="T21" s="1"/>
      <c r="U21" s="1"/>
      <c r="V21" s="1"/>
      <c r="W21" s="1"/>
      <c r="X21" s="1"/>
      <c r="Y21" s="1"/>
      <c r="Z21" s="1"/>
      <c r="AA21" s="3">
        <v>9</v>
      </c>
      <c r="AB21" s="4">
        <f t="shared" si="0"/>
        <v>26.102308736985059</v>
      </c>
      <c r="AC21" s="3">
        <f t="shared" si="1"/>
        <v>47</v>
      </c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</row>
    <row r="22" spans="1:49" x14ac:dyDescent="0.2">
      <c r="A22" s="41"/>
      <c r="B22" s="34"/>
      <c r="C22" s="34"/>
      <c r="D22" s="34"/>
      <c r="E22" s="34"/>
      <c r="F22" s="34"/>
      <c r="G22" s="34"/>
      <c r="H22" s="34"/>
      <c r="I22" s="34"/>
      <c r="J22" s="34"/>
      <c r="K22" s="34"/>
      <c r="L22" s="34"/>
      <c r="M22" s="34"/>
      <c r="N22" s="34"/>
      <c r="O22" s="34"/>
      <c r="P22" s="34"/>
      <c r="Q22" s="34"/>
      <c r="R22" s="34"/>
      <c r="S22" s="35"/>
      <c r="T22" s="1"/>
      <c r="U22" s="1"/>
      <c r="V22" s="1"/>
      <c r="W22" s="1"/>
      <c r="X22" s="1"/>
      <c r="Y22" s="1"/>
      <c r="Z22" s="1"/>
      <c r="AA22" s="25">
        <v>10</v>
      </c>
      <c r="AB22" s="26">
        <f t="shared" si="0"/>
        <v>24.014993752603083</v>
      </c>
      <c r="AC22" s="25">
        <f t="shared" si="1"/>
        <v>49</v>
      </c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</row>
    <row r="23" spans="1:49" x14ac:dyDescent="0.2">
      <c r="A23" s="41"/>
      <c r="B23" s="34"/>
      <c r="C23" s="34"/>
      <c r="D23" s="34"/>
      <c r="E23" s="34"/>
      <c r="F23" s="34"/>
      <c r="G23" s="34"/>
      <c r="H23" s="34"/>
      <c r="I23" s="34"/>
      <c r="J23" s="34"/>
      <c r="K23" s="34"/>
      <c r="L23" s="34"/>
      <c r="M23" s="34"/>
      <c r="N23" s="34"/>
      <c r="O23" s="34"/>
      <c r="P23" s="34"/>
      <c r="Q23" s="34"/>
      <c r="R23" s="34"/>
      <c r="S23" s="35"/>
      <c r="T23" s="1"/>
      <c r="U23" s="1"/>
      <c r="V23" s="1"/>
      <c r="W23" s="1"/>
      <c r="X23" s="1"/>
      <c r="Y23" s="1"/>
      <c r="Z23" s="1"/>
      <c r="AA23" s="3">
        <v>11</v>
      </c>
      <c r="AB23" s="4">
        <f t="shared" si="0"/>
        <v>22.168396770472889</v>
      </c>
      <c r="AC23" s="3">
        <f t="shared" si="1"/>
        <v>51</v>
      </c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</row>
    <row r="24" spans="1:49" x14ac:dyDescent="0.2">
      <c r="A24" s="41"/>
      <c r="B24" s="34"/>
      <c r="C24" s="34"/>
      <c r="D24" s="34"/>
      <c r="E24" s="34"/>
      <c r="F24" s="34"/>
      <c r="G24" s="34"/>
      <c r="H24" s="34"/>
      <c r="I24" s="34"/>
      <c r="J24" s="34"/>
      <c r="K24" s="34"/>
      <c r="L24" s="34"/>
      <c r="M24" s="34"/>
      <c r="N24" s="34"/>
      <c r="O24" s="34"/>
      <c r="P24" s="34"/>
      <c r="Q24" s="34"/>
      <c r="R24" s="34"/>
      <c r="S24" s="35"/>
      <c r="T24" s="1"/>
      <c r="U24" s="1"/>
      <c r="V24" s="1"/>
      <c r="W24" s="1"/>
      <c r="X24" s="1"/>
      <c r="Y24" s="1"/>
      <c r="Z24" s="1"/>
      <c r="AA24" s="3">
        <v>12</v>
      </c>
      <c r="AB24" s="4">
        <f t="shared" si="0"/>
        <v>20.526877892488429</v>
      </c>
      <c r="AC24" s="3">
        <f t="shared" si="1"/>
        <v>53</v>
      </c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</row>
    <row r="25" spans="1:49" x14ac:dyDescent="0.2">
      <c r="A25" s="41"/>
      <c r="B25" s="34"/>
      <c r="C25" s="34"/>
      <c r="D25" s="34"/>
      <c r="E25" s="34"/>
      <c r="F25" s="34"/>
      <c r="G25" s="34"/>
      <c r="H25" s="34"/>
      <c r="I25" s="34"/>
      <c r="J25" s="34"/>
      <c r="K25" s="34"/>
      <c r="L25" s="34"/>
      <c r="M25" s="34"/>
      <c r="N25" s="34"/>
      <c r="O25" s="34"/>
      <c r="P25" s="34"/>
      <c r="Q25" s="34"/>
      <c r="R25" s="34"/>
      <c r="S25" s="35"/>
      <c r="T25" s="1"/>
      <c r="U25" s="1"/>
      <c r="V25" s="1"/>
      <c r="W25" s="1"/>
      <c r="X25" s="1"/>
      <c r="Y25" s="1"/>
      <c r="Z25" s="1"/>
      <c r="AA25" s="3">
        <v>13</v>
      </c>
      <c r="AB25" s="4">
        <f t="shared" si="0"/>
        <v>19.061157024793388</v>
      </c>
      <c r="AC25" s="3">
        <f t="shared" si="1"/>
        <v>55</v>
      </c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</row>
    <row r="26" spans="1:49" x14ac:dyDescent="0.2">
      <c r="A26" s="41"/>
      <c r="B26" s="34"/>
      <c r="C26" s="34"/>
      <c r="D26" s="34"/>
      <c r="E26" s="34"/>
      <c r="F26" s="34"/>
      <c r="G26" s="34"/>
      <c r="H26" s="34"/>
      <c r="I26" s="34"/>
      <c r="J26" s="34"/>
      <c r="K26" s="34"/>
      <c r="L26" s="34"/>
      <c r="M26" s="34"/>
      <c r="N26" s="34"/>
      <c r="O26" s="34"/>
      <c r="P26" s="34"/>
      <c r="Q26" s="34"/>
      <c r="R26" s="34"/>
      <c r="S26" s="35"/>
      <c r="T26" s="1"/>
      <c r="U26" s="1"/>
      <c r="V26" s="1"/>
      <c r="W26" s="1"/>
      <c r="X26" s="1"/>
      <c r="Y26" s="1"/>
      <c r="Z26" s="1"/>
      <c r="AA26" s="3">
        <v>14</v>
      </c>
      <c r="AB26" s="4">
        <f t="shared" si="0"/>
        <v>17.746999076638968</v>
      </c>
      <c r="AC26" s="3">
        <f t="shared" si="1"/>
        <v>57</v>
      </c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</row>
    <row r="27" spans="1:49" x14ac:dyDescent="0.2">
      <c r="A27" s="41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5"/>
      <c r="T27" s="1"/>
      <c r="U27" s="1"/>
      <c r="V27" s="1"/>
      <c r="W27" s="1"/>
      <c r="X27" s="1"/>
      <c r="Y27" s="1"/>
      <c r="Z27" s="1"/>
      <c r="AA27" s="3">
        <v>15</v>
      </c>
      <c r="AB27" s="4">
        <f t="shared" si="0"/>
        <v>16.564205688020685</v>
      </c>
      <c r="AC27" s="3">
        <f t="shared" si="1"/>
        <v>59</v>
      </c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</row>
    <row r="28" spans="1:49" s="27" customFormat="1" ht="14.25" customHeight="1" x14ac:dyDescent="0.2">
      <c r="A28" s="46"/>
      <c r="B28" s="47"/>
      <c r="C28" s="47"/>
      <c r="D28" s="47"/>
      <c r="E28" s="47"/>
      <c r="F28" s="47"/>
      <c r="G28" s="47"/>
      <c r="H28" s="47"/>
      <c r="I28" s="47"/>
      <c r="J28" s="47"/>
      <c r="K28" s="47"/>
      <c r="L28" s="47"/>
      <c r="M28" s="47"/>
      <c r="N28" s="47"/>
      <c r="O28" s="47"/>
      <c r="P28" s="47"/>
      <c r="Q28" s="48"/>
      <c r="R28" s="47"/>
      <c r="S28" s="49"/>
      <c r="T28" s="24"/>
      <c r="U28" s="24"/>
      <c r="V28" s="24"/>
      <c r="W28" s="24"/>
      <c r="X28" s="24"/>
      <c r="Y28" s="24"/>
      <c r="Z28" s="24"/>
      <c r="AA28" s="3">
        <v>16</v>
      </c>
      <c r="AB28" s="4">
        <f t="shared" si="0"/>
        <v>15.495834453104004</v>
      </c>
      <c r="AC28" s="3">
        <f t="shared" si="1"/>
        <v>61</v>
      </c>
      <c r="AD28" s="1"/>
      <c r="AE28" s="24"/>
      <c r="AF28" s="24"/>
      <c r="AG28" s="24"/>
      <c r="AH28" s="24"/>
      <c r="AI28" s="24"/>
      <c r="AJ28" s="24"/>
      <c r="AK28" s="24"/>
      <c r="AL28" s="1"/>
      <c r="AM28" s="1"/>
      <c r="AN28" s="1"/>
      <c r="AO28" s="24"/>
      <c r="AP28" s="24"/>
      <c r="AQ28" s="24"/>
      <c r="AR28" s="24"/>
      <c r="AS28" s="24"/>
      <c r="AT28" s="24"/>
      <c r="AU28" s="24"/>
      <c r="AV28" s="24"/>
      <c r="AW28" s="24"/>
    </row>
    <row r="29" spans="1:49" x14ac:dyDescent="0.2">
      <c r="A29" s="41"/>
      <c r="B29" s="34"/>
      <c r="C29" s="34"/>
      <c r="D29" s="34"/>
      <c r="E29" s="34"/>
      <c r="F29" s="34"/>
      <c r="G29" s="34"/>
      <c r="H29" s="34"/>
      <c r="I29" s="34"/>
      <c r="J29" s="34"/>
      <c r="K29" s="34"/>
      <c r="L29" s="34"/>
      <c r="M29" s="34"/>
      <c r="N29" s="34"/>
      <c r="O29" s="34"/>
      <c r="P29" s="34"/>
      <c r="Q29" s="34"/>
      <c r="R29" s="34"/>
      <c r="S29" s="35"/>
      <c r="T29" s="1"/>
      <c r="U29" s="1"/>
      <c r="V29" s="1"/>
      <c r="W29" s="1"/>
      <c r="X29" s="1"/>
      <c r="Y29" s="1"/>
      <c r="Z29" s="1"/>
      <c r="AA29" s="24"/>
      <c r="AB29" s="24"/>
      <c r="AC29" s="24"/>
      <c r="AD29" s="24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</row>
    <row r="30" spans="1:49" x14ac:dyDescent="0.2">
      <c r="A30" s="41"/>
      <c r="B30" s="34"/>
      <c r="C30" s="34"/>
      <c r="D30" s="34"/>
      <c r="E30" s="34"/>
      <c r="F30" s="34"/>
      <c r="G30" s="34"/>
      <c r="H30" s="34"/>
      <c r="I30" s="34"/>
      <c r="J30" s="34"/>
      <c r="K30" s="34"/>
      <c r="L30" s="34"/>
      <c r="M30" s="34"/>
      <c r="N30" s="34"/>
      <c r="O30" s="34"/>
      <c r="P30" s="34"/>
      <c r="Q30" s="34"/>
      <c r="R30" s="34"/>
      <c r="S30" s="35"/>
      <c r="T30" s="1"/>
      <c r="U30" s="1"/>
      <c r="V30" s="1"/>
      <c r="W30" s="1"/>
      <c r="X30" s="1"/>
      <c r="Y30" s="1"/>
      <c r="Z30" s="1"/>
      <c r="AA30" s="2" t="s">
        <v>30</v>
      </c>
      <c r="AB30" s="58">
        <v>50</v>
      </c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</row>
    <row r="31" spans="1:49" x14ac:dyDescent="0.2">
      <c r="A31" s="41"/>
      <c r="B31" s="34"/>
      <c r="C31" s="34"/>
      <c r="D31" s="34"/>
      <c r="E31" s="34"/>
      <c r="F31" s="34"/>
      <c r="G31" s="34"/>
      <c r="H31" s="34"/>
      <c r="I31" s="34"/>
      <c r="J31" s="34"/>
      <c r="K31" s="34"/>
      <c r="L31" s="34"/>
      <c r="M31" s="34"/>
      <c r="N31" s="34"/>
      <c r="O31" s="34"/>
      <c r="P31" s="34"/>
      <c r="Q31" s="34"/>
      <c r="R31" s="34"/>
      <c r="S31" s="35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</row>
    <row r="32" spans="1:49" x14ac:dyDescent="0.2">
      <c r="A32" s="41"/>
      <c r="B32" s="34"/>
      <c r="C32" s="34"/>
      <c r="D32" s="34"/>
      <c r="E32" s="34"/>
      <c r="F32" s="34"/>
      <c r="G32" s="34"/>
      <c r="H32" s="34"/>
      <c r="I32" s="34"/>
      <c r="J32" s="34"/>
      <c r="K32" s="34"/>
      <c r="L32" s="34"/>
      <c r="M32" s="34"/>
      <c r="N32" s="34"/>
      <c r="O32" s="34"/>
      <c r="P32" s="34"/>
      <c r="Q32" s="34"/>
      <c r="R32" s="34"/>
      <c r="S32" s="35"/>
      <c r="T32" s="1"/>
      <c r="U32" s="1"/>
      <c r="V32" s="1"/>
      <c r="W32" s="1"/>
      <c r="X32" s="1"/>
      <c r="Y32" s="1"/>
      <c r="Z32" s="1"/>
      <c r="AA32" s="2" t="s">
        <v>25</v>
      </c>
      <c r="AB32" s="59" t="s">
        <v>26</v>
      </c>
      <c r="AC32" s="59" t="s">
        <v>27</v>
      </c>
      <c r="AD32" s="59" t="s">
        <v>28</v>
      </c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</row>
    <row r="33" spans="1:49" x14ac:dyDescent="0.2">
      <c r="A33" s="41"/>
      <c r="B33" s="34"/>
      <c r="C33" s="34"/>
      <c r="D33" s="34"/>
      <c r="E33" s="34"/>
      <c r="F33" s="34"/>
      <c r="G33" s="34"/>
      <c r="H33" s="34"/>
      <c r="I33" s="34"/>
      <c r="J33" s="34"/>
      <c r="K33" s="34"/>
      <c r="L33" s="34"/>
      <c r="M33" s="34"/>
      <c r="N33" s="34"/>
      <c r="O33" s="34"/>
      <c r="P33" s="34"/>
      <c r="Q33" s="34"/>
      <c r="R33" s="34"/>
      <c r="S33" s="35"/>
      <c r="T33" s="1"/>
      <c r="U33" s="1"/>
      <c r="V33" s="1"/>
      <c r="W33" s="1"/>
      <c r="X33" s="1"/>
      <c r="Y33" s="1"/>
      <c r="Z33" s="1"/>
      <c r="AA33" s="1"/>
      <c r="AB33" s="68">
        <f>-Grid</f>
        <v>-50</v>
      </c>
      <c r="AC33" s="69">
        <v>0</v>
      </c>
      <c r="AD33" s="70">
        <v>0</v>
      </c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</row>
    <row r="34" spans="1:49" x14ac:dyDescent="0.2">
      <c r="A34" s="41"/>
      <c r="B34" s="34"/>
      <c r="C34" s="34"/>
      <c r="D34" s="34"/>
      <c r="E34" s="34"/>
      <c r="F34" s="34"/>
      <c r="G34" s="34"/>
      <c r="H34" s="34"/>
      <c r="I34" s="34"/>
      <c r="J34" s="34"/>
      <c r="K34" s="34"/>
      <c r="L34" s="34"/>
      <c r="M34" s="34"/>
      <c r="N34" s="34"/>
      <c r="O34" s="34"/>
      <c r="P34" s="34"/>
      <c r="Q34" s="34"/>
      <c r="R34" s="34"/>
      <c r="S34" s="35"/>
      <c r="T34" s="1"/>
      <c r="U34" s="1"/>
      <c r="V34" s="1"/>
      <c r="W34" s="1"/>
      <c r="X34" s="1"/>
      <c r="Y34" s="1"/>
      <c r="Z34" s="1"/>
      <c r="AA34" s="1"/>
      <c r="AB34" s="71">
        <f>+Grid</f>
        <v>50</v>
      </c>
      <c r="AC34" s="72">
        <v>0</v>
      </c>
      <c r="AD34" s="73">
        <v>0</v>
      </c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</row>
    <row r="35" spans="1:49" x14ac:dyDescent="0.2">
      <c r="A35" s="41"/>
      <c r="B35" s="34"/>
      <c r="C35" s="34"/>
      <c r="D35" s="34"/>
      <c r="E35" s="34"/>
      <c r="F35" s="34"/>
      <c r="G35" s="34"/>
      <c r="H35" s="34"/>
      <c r="I35" s="34"/>
      <c r="J35" s="34"/>
      <c r="K35" s="34"/>
      <c r="L35" s="34"/>
      <c r="M35" s="34"/>
      <c r="N35" s="34"/>
      <c r="O35" s="34"/>
      <c r="P35" s="34"/>
      <c r="Q35" s="34"/>
      <c r="R35" s="34"/>
      <c r="S35" s="35"/>
      <c r="T35" s="1"/>
      <c r="U35" s="1"/>
      <c r="V35" s="1"/>
      <c r="W35" s="1"/>
      <c r="X35" s="1"/>
      <c r="Y35" s="1"/>
      <c r="Z35" s="1"/>
      <c r="AA35" s="1"/>
      <c r="AB35" s="71"/>
      <c r="AC35" s="72"/>
      <c r="AD35" s="73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</row>
    <row r="36" spans="1:49" x14ac:dyDescent="0.2">
      <c r="A36" s="41"/>
      <c r="B36" s="34"/>
      <c r="C36" s="34"/>
      <c r="D36" s="34"/>
      <c r="E36" s="34"/>
      <c r="F36" s="34"/>
      <c r="G36" s="34"/>
      <c r="H36" s="34"/>
      <c r="I36" s="34"/>
      <c r="J36" s="34"/>
      <c r="K36" s="34"/>
      <c r="L36" s="34"/>
      <c r="M36" s="34"/>
      <c r="N36" s="34"/>
      <c r="O36" s="34"/>
      <c r="P36" s="34"/>
      <c r="Q36" s="34"/>
      <c r="R36" s="34"/>
      <c r="S36" s="35"/>
      <c r="T36" s="1"/>
      <c r="U36" s="1"/>
      <c r="V36" s="1"/>
      <c r="W36" s="1"/>
      <c r="X36" s="1"/>
      <c r="Y36" s="1"/>
      <c r="Z36" s="1"/>
      <c r="AA36" s="1"/>
      <c r="AB36" s="71">
        <v>0</v>
      </c>
      <c r="AC36" s="72">
        <f>-Grid</f>
        <v>-50</v>
      </c>
      <c r="AD36" s="73">
        <v>0</v>
      </c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</row>
    <row r="37" spans="1:49" x14ac:dyDescent="0.2">
      <c r="A37" s="41"/>
      <c r="B37" s="34"/>
      <c r="C37" s="34"/>
      <c r="D37" s="34"/>
      <c r="E37" s="34"/>
      <c r="F37" s="34"/>
      <c r="G37" s="34"/>
      <c r="H37" s="34"/>
      <c r="I37" s="34"/>
      <c r="J37" s="34"/>
      <c r="K37" s="34"/>
      <c r="L37" s="34"/>
      <c r="M37" s="34"/>
      <c r="N37" s="34"/>
      <c r="O37" s="34"/>
      <c r="P37" s="34"/>
      <c r="Q37" s="34"/>
      <c r="R37" s="34"/>
      <c r="S37" s="35"/>
      <c r="T37" s="1"/>
      <c r="U37" s="1"/>
      <c r="V37" s="1"/>
      <c r="W37" s="1"/>
      <c r="X37" s="1"/>
      <c r="Y37" s="1"/>
      <c r="Z37" s="1"/>
      <c r="AA37" s="1"/>
      <c r="AB37" s="71">
        <v>0</v>
      </c>
      <c r="AC37" s="72">
        <f>+Grid</f>
        <v>50</v>
      </c>
      <c r="AD37" s="73">
        <v>0</v>
      </c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</row>
    <row r="38" spans="1:49" x14ac:dyDescent="0.2">
      <c r="A38" s="41"/>
      <c r="B38" s="34"/>
      <c r="C38" s="34"/>
      <c r="D38" s="34"/>
      <c r="E38" s="34"/>
      <c r="F38" s="34"/>
      <c r="G38" s="34"/>
      <c r="H38" s="34"/>
      <c r="I38" s="34"/>
      <c r="J38" s="34"/>
      <c r="K38" s="34"/>
      <c r="L38" s="34"/>
      <c r="M38" s="34"/>
      <c r="N38" s="34"/>
      <c r="O38" s="34"/>
      <c r="P38" s="34"/>
      <c r="Q38" s="34"/>
      <c r="R38" s="34"/>
      <c r="S38" s="35"/>
      <c r="T38" s="1"/>
      <c r="U38" s="1"/>
      <c r="V38" s="1"/>
      <c r="W38" s="1"/>
      <c r="X38" s="1"/>
      <c r="Y38" s="1"/>
      <c r="Z38" s="1"/>
      <c r="AA38" s="1"/>
      <c r="AB38" s="71"/>
      <c r="AC38" s="72"/>
      <c r="AD38" s="73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</row>
    <row r="39" spans="1:49" x14ac:dyDescent="0.2">
      <c r="A39" s="41"/>
      <c r="B39" s="34"/>
      <c r="C39" s="34"/>
      <c r="D39" s="34"/>
      <c r="E39" s="34"/>
      <c r="F39" s="34"/>
      <c r="G39" s="34"/>
      <c r="H39" s="34"/>
      <c r="I39" s="34"/>
      <c r="J39" s="34"/>
      <c r="K39" s="34"/>
      <c r="L39" s="34"/>
      <c r="M39" s="34"/>
      <c r="N39" s="34"/>
      <c r="O39" s="34"/>
      <c r="P39" s="34"/>
      <c r="Q39" s="34"/>
      <c r="R39" s="34"/>
      <c r="S39" s="35"/>
      <c r="T39" s="1"/>
      <c r="U39" s="1"/>
      <c r="V39" s="1"/>
      <c r="W39" s="1"/>
      <c r="X39" s="1"/>
      <c r="Y39" s="1"/>
      <c r="Z39" s="1"/>
      <c r="AA39" s="1"/>
      <c r="AB39" s="71">
        <v>0</v>
      </c>
      <c r="AC39" s="72">
        <v>0</v>
      </c>
      <c r="AD39" s="73">
        <f>-Grid</f>
        <v>-50</v>
      </c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</row>
    <row r="40" spans="1:49" x14ac:dyDescent="0.2">
      <c r="A40" s="41"/>
      <c r="B40" s="34"/>
      <c r="C40" s="34"/>
      <c r="D40" s="34"/>
      <c r="E40" s="34"/>
      <c r="F40" s="34"/>
      <c r="G40" s="34"/>
      <c r="H40" s="34"/>
      <c r="I40" s="34"/>
      <c r="J40" s="34"/>
      <c r="K40" s="34"/>
      <c r="L40" s="34"/>
      <c r="M40" s="34"/>
      <c r="N40" s="34"/>
      <c r="O40" s="34"/>
      <c r="P40" s="34"/>
      <c r="Q40" s="34"/>
      <c r="R40" s="34"/>
      <c r="S40" s="35"/>
      <c r="T40" s="1"/>
      <c r="U40" s="1"/>
      <c r="V40" s="1"/>
      <c r="W40" s="1"/>
      <c r="X40" s="1"/>
      <c r="Y40" s="1"/>
      <c r="Z40" s="1"/>
      <c r="AA40" s="1"/>
      <c r="AB40" s="74">
        <v>0</v>
      </c>
      <c r="AC40" s="75">
        <v>0</v>
      </c>
      <c r="AD40" s="76">
        <f>+Grid</f>
        <v>50</v>
      </c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</row>
    <row r="41" spans="1:49" x14ac:dyDescent="0.2">
      <c r="A41" s="41"/>
      <c r="B41" s="34"/>
      <c r="C41" s="34"/>
      <c r="D41" s="34"/>
      <c r="E41" s="34"/>
      <c r="F41" s="34"/>
      <c r="G41" s="34"/>
      <c r="H41" s="34"/>
      <c r="I41" s="34"/>
      <c r="J41" s="34"/>
      <c r="K41" s="34"/>
      <c r="L41" s="34"/>
      <c r="M41" s="34"/>
      <c r="N41" s="34"/>
      <c r="O41" s="34"/>
      <c r="P41" s="34"/>
      <c r="Q41" s="34"/>
      <c r="R41" s="34"/>
      <c r="S41" s="35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</row>
    <row r="42" spans="1:49" ht="12" thickBot="1" x14ac:dyDescent="0.25">
      <c r="A42" s="50"/>
      <c r="B42" s="51"/>
      <c r="C42" s="51"/>
      <c r="D42" s="51"/>
      <c r="E42" s="51"/>
      <c r="F42" s="51"/>
      <c r="G42" s="51"/>
      <c r="H42" s="51"/>
      <c r="I42" s="51"/>
      <c r="J42" s="51"/>
      <c r="K42" s="51"/>
      <c r="L42" s="51"/>
      <c r="M42" s="51"/>
      <c r="N42" s="51"/>
      <c r="O42" s="51"/>
      <c r="P42" s="51"/>
      <c r="Q42" s="51"/>
      <c r="R42" s="51"/>
      <c r="S42" s="52"/>
      <c r="T42" s="1"/>
      <c r="U42" s="1"/>
      <c r="V42" s="1"/>
      <c r="W42" s="1"/>
      <c r="X42" s="1"/>
      <c r="Y42" s="1"/>
      <c r="Z42" s="1"/>
      <c r="AA42" s="1"/>
      <c r="AB42" s="60">
        <f t="shared" ref="AB42:AB49" si="2">(AB33*RM_X1)+(AC33*RM_Y1)+(AD33*RM_Z1)</f>
        <v>-50</v>
      </c>
      <c r="AC42" s="61">
        <f t="shared" ref="AC42:AC49" si="3">(AB33*RM_X2)+(AC33*RM_Y2)+(AD33*RM_Z2)</f>
        <v>0</v>
      </c>
      <c r="AD42" s="34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</row>
    <row r="43" spans="1:49" ht="12" thickTop="1" x14ac:dyDescent="0.2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62">
        <f t="shared" si="2"/>
        <v>50</v>
      </c>
      <c r="AC43" s="63">
        <f t="shared" si="3"/>
        <v>0</v>
      </c>
      <c r="AD43" s="34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</row>
    <row r="44" spans="1:49" x14ac:dyDescent="0.2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62">
        <f t="shared" si="2"/>
        <v>0</v>
      </c>
      <c r="AC44" s="63">
        <f t="shared" si="3"/>
        <v>0</v>
      </c>
      <c r="AD44" s="34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</row>
    <row r="45" spans="1:49" x14ac:dyDescent="0.2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62">
        <f t="shared" si="2"/>
        <v>0</v>
      </c>
      <c r="AC45" s="63">
        <f t="shared" si="3"/>
        <v>-50</v>
      </c>
      <c r="AD45" s="34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</row>
    <row r="46" spans="1:49" x14ac:dyDescent="0.2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62">
        <f t="shared" si="2"/>
        <v>0</v>
      </c>
      <c r="AC46" s="63">
        <f t="shared" si="3"/>
        <v>50</v>
      </c>
      <c r="AD46" s="34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</row>
    <row r="47" spans="1:49" x14ac:dyDescent="0.2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62">
        <f t="shared" si="2"/>
        <v>0</v>
      </c>
      <c r="AC47" s="63">
        <f t="shared" si="3"/>
        <v>0</v>
      </c>
      <c r="AD47" s="34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</row>
    <row r="48" spans="1:49" x14ac:dyDescent="0.2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62">
        <f t="shared" si="2"/>
        <v>0</v>
      </c>
      <c r="AC48" s="63">
        <f t="shared" si="3"/>
        <v>0</v>
      </c>
      <c r="AD48" s="34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</row>
    <row r="49" spans="1:49" x14ac:dyDescent="0.2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64">
        <f t="shared" si="2"/>
        <v>0</v>
      </c>
      <c r="AC49" s="66">
        <f t="shared" si="3"/>
        <v>0</v>
      </c>
      <c r="AD49" s="34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</row>
    <row r="50" spans="1:49" x14ac:dyDescent="0.2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</row>
    <row r="51" spans="1:49" x14ac:dyDescent="0.2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67" t="s">
        <v>29</v>
      </c>
      <c r="AB51" s="56" t="s">
        <v>26</v>
      </c>
      <c r="AC51" s="56" t="s">
        <v>27</v>
      </c>
      <c r="AD51" s="56" t="s">
        <v>28</v>
      </c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</row>
    <row r="52" spans="1:49" x14ac:dyDescent="0.2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34"/>
      <c r="AB52" s="68">
        <v>0</v>
      </c>
      <c r="AC52" s="69">
        <v>0</v>
      </c>
      <c r="AD52" s="70">
        <v>-90</v>
      </c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</row>
    <row r="53" spans="1:49" x14ac:dyDescent="0.2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34"/>
      <c r="AB53" s="71">
        <v>-40</v>
      </c>
      <c r="AC53" s="72">
        <v>-80</v>
      </c>
      <c r="AD53" s="73">
        <f>+AD52</f>
        <v>-90</v>
      </c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</row>
    <row r="54" spans="1:49" x14ac:dyDescent="0.2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34"/>
      <c r="AB54" s="71">
        <v>40</v>
      </c>
      <c r="AC54" s="72">
        <v>-80</v>
      </c>
      <c r="AD54" s="73">
        <f>+AD53</f>
        <v>-90</v>
      </c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</row>
    <row r="55" spans="1:49" x14ac:dyDescent="0.2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34"/>
      <c r="AB55" s="71">
        <v>0</v>
      </c>
      <c r="AC55" s="72">
        <v>0</v>
      </c>
      <c r="AD55" s="73">
        <f>+AD54</f>
        <v>-90</v>
      </c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</row>
    <row r="56" spans="1:49" ht="12.75" x14ac:dyDescent="0.2">
      <c r="A56" s="1"/>
      <c r="B56" s="1"/>
      <c r="C56" s="1"/>
      <c r="D56" s="1"/>
      <c r="E56" s="1"/>
      <c r="F56" s="12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34"/>
      <c r="AB56" s="71"/>
      <c r="AC56" s="72"/>
      <c r="AD56" s="73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</row>
    <row r="57" spans="1:49" x14ac:dyDescent="0.2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34"/>
      <c r="AB57" s="71">
        <v>0</v>
      </c>
      <c r="AC57" s="72">
        <v>0</v>
      </c>
      <c r="AD57" s="73">
        <v>80</v>
      </c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</row>
    <row r="58" spans="1:49" x14ac:dyDescent="0.2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34"/>
      <c r="AB58" s="71">
        <v>-40</v>
      </c>
      <c r="AC58" s="72">
        <v>-80</v>
      </c>
      <c r="AD58" s="73">
        <f>+AD57</f>
        <v>80</v>
      </c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</row>
    <row r="59" spans="1:49" x14ac:dyDescent="0.2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34"/>
      <c r="AB59" s="71">
        <v>40</v>
      </c>
      <c r="AC59" s="72">
        <v>-80</v>
      </c>
      <c r="AD59" s="73">
        <f>+AD58</f>
        <v>80</v>
      </c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</row>
    <row r="60" spans="1:49" x14ac:dyDescent="0.2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34"/>
      <c r="AB60" s="71">
        <v>0</v>
      </c>
      <c r="AC60" s="72">
        <v>0</v>
      </c>
      <c r="AD60" s="73">
        <f>+AD59</f>
        <v>80</v>
      </c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</row>
    <row r="61" spans="1:49" x14ac:dyDescent="0.2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34"/>
      <c r="AB61" s="71"/>
      <c r="AC61" s="72"/>
      <c r="AD61" s="73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</row>
    <row r="62" spans="1:49" x14ac:dyDescent="0.2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71">
        <v>0</v>
      </c>
      <c r="AC62" s="72">
        <v>0</v>
      </c>
      <c r="AD62" s="73">
        <v>-90</v>
      </c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</row>
    <row r="63" spans="1:49" x14ac:dyDescent="0.2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71">
        <v>0</v>
      </c>
      <c r="AC63" s="72">
        <v>0</v>
      </c>
      <c r="AD63" s="73">
        <v>80</v>
      </c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</row>
    <row r="64" spans="1:49" x14ac:dyDescent="0.2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71">
        <v>-40</v>
      </c>
      <c r="AC64" s="72">
        <v>-80</v>
      </c>
      <c r="AD64" s="73">
        <v>80</v>
      </c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</row>
    <row r="65" spans="1:49" x14ac:dyDescent="0.2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71">
        <v>-40</v>
      </c>
      <c r="AC65" s="72">
        <v>-80</v>
      </c>
      <c r="AD65" s="73">
        <v>-90</v>
      </c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</row>
    <row r="66" spans="1:49" x14ac:dyDescent="0.2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71">
        <v>40</v>
      </c>
      <c r="AC66" s="72">
        <v>-80</v>
      </c>
      <c r="AD66" s="73">
        <f>+AD65</f>
        <v>-90</v>
      </c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</row>
    <row r="67" spans="1:49" x14ac:dyDescent="0.2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71">
        <v>40</v>
      </c>
      <c r="AC67" s="72">
        <v>-80</v>
      </c>
      <c r="AD67" s="73">
        <v>80</v>
      </c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</row>
    <row r="68" spans="1:49" x14ac:dyDescent="0.2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62"/>
      <c r="AC68" s="34"/>
      <c r="AD68" s="63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</row>
    <row r="69" spans="1:49" x14ac:dyDescent="0.2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62"/>
      <c r="AC69" s="34"/>
      <c r="AD69" s="63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</row>
    <row r="70" spans="1:49" x14ac:dyDescent="0.2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64"/>
      <c r="AC70" s="65"/>
      <c r="AD70" s="66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</row>
    <row r="71" spans="1:49" x14ac:dyDescent="0.2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</row>
    <row r="72" spans="1:49" x14ac:dyDescent="0.2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60">
        <f t="shared" ref="AB72:AB90" si="4">(AB52*RM_X1)+(AC52*RM_Y1)+(AD52*RM_Z1)</f>
        <v>0</v>
      </c>
      <c r="AC72" s="61">
        <f t="shared" ref="AC72:AC90" si="5">(AB52*RM_X2)+(AC52*RM_Y2)+(AD52*RM_Z2)</f>
        <v>0</v>
      </c>
      <c r="AD72" s="34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</row>
    <row r="73" spans="1:49" x14ac:dyDescent="0.2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62">
        <f t="shared" si="4"/>
        <v>-40</v>
      </c>
      <c r="AC73" s="63">
        <f t="shared" si="5"/>
        <v>-80</v>
      </c>
      <c r="AD73" s="34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</row>
    <row r="74" spans="1:49" x14ac:dyDescent="0.2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62">
        <f t="shared" si="4"/>
        <v>40</v>
      </c>
      <c r="AC74" s="63">
        <f t="shared" si="5"/>
        <v>-80</v>
      </c>
      <c r="AD74" s="34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</row>
    <row r="75" spans="1:49" x14ac:dyDescent="0.2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62">
        <f t="shared" si="4"/>
        <v>0</v>
      </c>
      <c r="AC75" s="63">
        <f t="shared" si="5"/>
        <v>0</v>
      </c>
      <c r="AD75" s="34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</row>
    <row r="76" spans="1:49" x14ac:dyDescent="0.2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62">
        <f t="shared" si="4"/>
        <v>0</v>
      </c>
      <c r="AC76" s="63">
        <f t="shared" si="5"/>
        <v>0</v>
      </c>
      <c r="AD76" s="34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</row>
    <row r="77" spans="1:49" x14ac:dyDescent="0.2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62">
        <f t="shared" si="4"/>
        <v>0</v>
      </c>
      <c r="AC77" s="63">
        <f t="shared" si="5"/>
        <v>0</v>
      </c>
      <c r="AD77" s="34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</row>
    <row r="78" spans="1:49" x14ac:dyDescent="0.2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62">
        <f t="shared" si="4"/>
        <v>-40</v>
      </c>
      <c r="AC78" s="63">
        <f t="shared" si="5"/>
        <v>-80</v>
      </c>
      <c r="AD78" s="34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</row>
    <row r="79" spans="1:49" x14ac:dyDescent="0.2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62">
        <f t="shared" si="4"/>
        <v>40</v>
      </c>
      <c r="AC79" s="63">
        <f t="shared" si="5"/>
        <v>-80</v>
      </c>
      <c r="AD79" s="34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</row>
    <row r="80" spans="1:49" x14ac:dyDescent="0.2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62">
        <f t="shared" si="4"/>
        <v>0</v>
      </c>
      <c r="AC80" s="63">
        <f t="shared" si="5"/>
        <v>0</v>
      </c>
      <c r="AD80" s="34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</row>
    <row r="81" spans="1:49" x14ac:dyDescent="0.2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62">
        <f t="shared" si="4"/>
        <v>0</v>
      </c>
      <c r="AC81" s="63">
        <f t="shared" si="5"/>
        <v>0</v>
      </c>
      <c r="AD81" s="34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</row>
    <row r="82" spans="1:49" x14ac:dyDescent="0.2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62">
        <f t="shared" si="4"/>
        <v>0</v>
      </c>
      <c r="AC82" s="63">
        <f t="shared" si="5"/>
        <v>0</v>
      </c>
      <c r="AD82" s="34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</row>
    <row r="83" spans="1:49" x14ac:dyDescent="0.2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62">
        <f t="shared" si="4"/>
        <v>0</v>
      </c>
      <c r="AC83" s="63">
        <f t="shared" si="5"/>
        <v>0</v>
      </c>
      <c r="AD83" s="34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</row>
    <row r="84" spans="1:49" x14ac:dyDescent="0.2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62">
        <f t="shared" si="4"/>
        <v>-40</v>
      </c>
      <c r="AC84" s="63">
        <f t="shared" si="5"/>
        <v>-80</v>
      </c>
      <c r="AD84" s="34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</row>
    <row r="85" spans="1:49" x14ac:dyDescent="0.2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62">
        <f t="shared" si="4"/>
        <v>-40</v>
      </c>
      <c r="AC85" s="63">
        <f t="shared" si="5"/>
        <v>-80</v>
      </c>
      <c r="AD85" s="34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</row>
    <row r="86" spans="1:49" x14ac:dyDescent="0.2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62">
        <f t="shared" si="4"/>
        <v>40</v>
      </c>
      <c r="AC86" s="63">
        <f t="shared" si="5"/>
        <v>-80</v>
      </c>
      <c r="AD86" s="34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</row>
    <row r="87" spans="1:49" x14ac:dyDescent="0.2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62">
        <f t="shared" si="4"/>
        <v>40</v>
      </c>
      <c r="AC87" s="63">
        <f t="shared" si="5"/>
        <v>-80</v>
      </c>
      <c r="AD87" s="34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</row>
    <row r="88" spans="1:49" x14ac:dyDescent="0.2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62">
        <f t="shared" si="4"/>
        <v>0</v>
      </c>
      <c r="AC88" s="63">
        <f t="shared" si="5"/>
        <v>0</v>
      </c>
      <c r="AD88" s="34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</row>
    <row r="89" spans="1:49" x14ac:dyDescent="0.2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62">
        <f t="shared" si="4"/>
        <v>0</v>
      </c>
      <c r="AC89" s="63">
        <f t="shared" si="5"/>
        <v>0</v>
      </c>
      <c r="AD89" s="34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</row>
    <row r="90" spans="1:49" x14ac:dyDescent="0.2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64">
        <f t="shared" si="4"/>
        <v>0</v>
      </c>
      <c r="AC90" s="66">
        <f t="shared" si="5"/>
        <v>0</v>
      </c>
      <c r="AD90" s="34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</row>
    <row r="91" spans="1:49" x14ac:dyDescent="0.2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</row>
    <row r="92" spans="1:49" x14ac:dyDescent="0.2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</row>
    <row r="93" spans="1:49" x14ac:dyDescent="0.2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</row>
    <row r="94" spans="1:49" x14ac:dyDescent="0.2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</row>
    <row r="95" spans="1:49" x14ac:dyDescent="0.2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</row>
    <row r="96" spans="1:49" x14ac:dyDescent="0.2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</row>
    <row r="97" spans="1:49" x14ac:dyDescent="0.2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</row>
    <row r="98" spans="1:49" x14ac:dyDescent="0.2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</row>
    <row r="99" spans="1:49" x14ac:dyDescent="0.2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</row>
    <row r="100" spans="1:49" x14ac:dyDescent="0.2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</row>
    <row r="101" spans="1:49" x14ac:dyDescent="0.2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</row>
    <row r="102" spans="1:49" x14ac:dyDescent="0.2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</row>
    <row r="103" spans="1:49" x14ac:dyDescent="0.2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</row>
    <row r="104" spans="1:49" x14ac:dyDescent="0.2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</row>
    <row r="105" spans="1:49" x14ac:dyDescent="0.2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</row>
    <row r="106" spans="1:49" x14ac:dyDescent="0.2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</row>
    <row r="107" spans="1:49" x14ac:dyDescent="0.2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</row>
    <row r="108" spans="1:49" x14ac:dyDescent="0.2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</row>
    <row r="109" spans="1:49" x14ac:dyDescent="0.2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</row>
    <row r="110" spans="1:49" x14ac:dyDescent="0.2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</row>
    <row r="111" spans="1:49" x14ac:dyDescent="0.2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</row>
    <row r="112" spans="1:49" x14ac:dyDescent="0.2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</row>
    <row r="113" spans="1:49" x14ac:dyDescent="0.2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</row>
    <row r="114" spans="1:49" x14ac:dyDescent="0.2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</row>
    <row r="115" spans="1:49" x14ac:dyDescent="0.2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</row>
    <row r="116" spans="1:49" x14ac:dyDescent="0.2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</row>
    <row r="117" spans="1:49" x14ac:dyDescent="0.2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</row>
    <row r="118" spans="1:49" x14ac:dyDescent="0.2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</row>
    <row r="119" spans="1:49" x14ac:dyDescent="0.2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</row>
    <row r="120" spans="1:49" x14ac:dyDescent="0.2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</row>
    <row r="121" spans="1:49" x14ac:dyDescent="0.2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</row>
    <row r="122" spans="1:49" x14ac:dyDescent="0.2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</row>
    <row r="123" spans="1:49" x14ac:dyDescent="0.2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</row>
    <row r="124" spans="1:49" x14ac:dyDescent="0.2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</row>
    <row r="125" spans="1:49" x14ac:dyDescent="0.2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</row>
    <row r="126" spans="1:49" x14ac:dyDescent="0.2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</row>
    <row r="127" spans="1:49" x14ac:dyDescent="0.2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</row>
    <row r="128" spans="1:49" x14ac:dyDescent="0.2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</row>
    <row r="129" spans="1:49" x14ac:dyDescent="0.2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</row>
    <row r="130" spans="1:49" x14ac:dyDescent="0.2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</row>
    <row r="131" spans="1:49" x14ac:dyDescent="0.2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</row>
    <row r="132" spans="1:49" x14ac:dyDescent="0.2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</row>
    <row r="133" spans="1:49" x14ac:dyDescent="0.2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</row>
    <row r="134" spans="1:49" x14ac:dyDescent="0.2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</row>
    <row r="135" spans="1:49" x14ac:dyDescent="0.2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</row>
    <row r="136" spans="1:49" x14ac:dyDescent="0.2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</row>
    <row r="137" spans="1:49" x14ac:dyDescent="0.2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</row>
    <row r="138" spans="1:49" x14ac:dyDescent="0.2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</row>
    <row r="139" spans="1:49" x14ac:dyDescent="0.2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</row>
    <row r="140" spans="1:49" x14ac:dyDescent="0.2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</row>
    <row r="141" spans="1:49" x14ac:dyDescent="0.2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</row>
    <row r="142" spans="1:49" x14ac:dyDescent="0.2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</row>
    <row r="143" spans="1:49" x14ac:dyDescent="0.2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</row>
    <row r="144" spans="1:49" x14ac:dyDescent="0.2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</row>
    <row r="145" spans="1:49" x14ac:dyDescent="0.2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</row>
    <row r="146" spans="1:49" x14ac:dyDescent="0.2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</row>
    <row r="147" spans="1:49" x14ac:dyDescent="0.2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</row>
    <row r="148" spans="1:49" x14ac:dyDescent="0.2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</row>
    <row r="149" spans="1:49" x14ac:dyDescent="0.2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</row>
    <row r="150" spans="1:49" x14ac:dyDescent="0.2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</row>
    <row r="151" spans="1:49" x14ac:dyDescent="0.2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</row>
    <row r="152" spans="1:49" x14ac:dyDescent="0.2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</row>
    <row r="153" spans="1:49" x14ac:dyDescent="0.2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</row>
    <row r="154" spans="1:49" x14ac:dyDescent="0.2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</row>
    <row r="155" spans="1:49" x14ac:dyDescent="0.2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</row>
    <row r="156" spans="1:49" x14ac:dyDescent="0.2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</row>
    <row r="157" spans="1:49" x14ac:dyDescent="0.2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</row>
    <row r="158" spans="1:49" x14ac:dyDescent="0.2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</row>
    <row r="159" spans="1:49" x14ac:dyDescent="0.2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</row>
    <row r="160" spans="1:49" x14ac:dyDescent="0.2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</row>
    <row r="161" spans="1:49" x14ac:dyDescent="0.2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</row>
    <row r="162" spans="1:49" x14ac:dyDescent="0.2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</row>
    <row r="163" spans="1:49" x14ac:dyDescent="0.2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</row>
    <row r="164" spans="1:49" x14ac:dyDescent="0.2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</row>
    <row r="165" spans="1:49" x14ac:dyDescent="0.2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</row>
    <row r="166" spans="1:49" x14ac:dyDescent="0.2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</row>
    <row r="167" spans="1:49" x14ac:dyDescent="0.2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</row>
    <row r="168" spans="1:49" x14ac:dyDescent="0.2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</row>
    <row r="169" spans="1:49" x14ac:dyDescent="0.2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</row>
    <row r="170" spans="1:49" x14ac:dyDescent="0.2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</row>
    <row r="171" spans="1:49" x14ac:dyDescent="0.2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</row>
    <row r="172" spans="1:49" x14ac:dyDescent="0.2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</row>
    <row r="173" spans="1:49" x14ac:dyDescent="0.2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</row>
    <row r="174" spans="1:49" x14ac:dyDescent="0.2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</row>
    <row r="175" spans="1:49" x14ac:dyDescent="0.2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</row>
    <row r="176" spans="1:49" x14ac:dyDescent="0.2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</row>
    <row r="177" spans="1:49" x14ac:dyDescent="0.2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</row>
    <row r="178" spans="1:49" x14ac:dyDescent="0.2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</row>
    <row r="179" spans="1:49" x14ac:dyDescent="0.2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</row>
    <row r="180" spans="1:49" x14ac:dyDescent="0.2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</row>
    <row r="181" spans="1:49" x14ac:dyDescent="0.2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</row>
    <row r="182" spans="1:49" x14ac:dyDescent="0.2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</row>
    <row r="183" spans="1:49" x14ac:dyDescent="0.2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</row>
    <row r="184" spans="1:49" x14ac:dyDescent="0.2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</row>
    <row r="185" spans="1:49" x14ac:dyDescent="0.2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</row>
    <row r="186" spans="1:49" x14ac:dyDescent="0.2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</row>
    <row r="187" spans="1:49" x14ac:dyDescent="0.2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</row>
    <row r="188" spans="1:49" x14ac:dyDescent="0.2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</row>
    <row r="189" spans="1:49" x14ac:dyDescent="0.2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</row>
    <row r="190" spans="1:49" x14ac:dyDescent="0.2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</row>
    <row r="191" spans="1:49" x14ac:dyDescent="0.2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</row>
    <row r="192" spans="1:49" x14ac:dyDescent="0.2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</row>
    <row r="193" spans="1:49" x14ac:dyDescent="0.2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</row>
    <row r="194" spans="1:49" x14ac:dyDescent="0.2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</row>
    <row r="195" spans="1:49" x14ac:dyDescent="0.2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</row>
    <row r="196" spans="1:49" x14ac:dyDescent="0.2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</row>
    <row r="197" spans="1:49" x14ac:dyDescent="0.2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</row>
    <row r="198" spans="1:49" x14ac:dyDescent="0.2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</row>
    <row r="199" spans="1:49" x14ac:dyDescent="0.2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</row>
    <row r="200" spans="1:49" x14ac:dyDescent="0.2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</row>
    <row r="201" spans="1:49" x14ac:dyDescent="0.2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</row>
    <row r="202" spans="1:49" x14ac:dyDescent="0.2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</row>
    <row r="203" spans="1:49" x14ac:dyDescent="0.2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</row>
    <row r="204" spans="1:49" x14ac:dyDescent="0.2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</row>
    <row r="205" spans="1:49" x14ac:dyDescent="0.2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</row>
    <row r="206" spans="1:49" x14ac:dyDescent="0.2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</row>
    <row r="207" spans="1:49" x14ac:dyDescent="0.2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</row>
    <row r="208" spans="1:49" x14ac:dyDescent="0.2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</row>
    <row r="209" spans="1:49" x14ac:dyDescent="0.2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</row>
    <row r="210" spans="1:49" x14ac:dyDescent="0.2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</row>
    <row r="211" spans="1:49" x14ac:dyDescent="0.2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</row>
    <row r="212" spans="1:49" x14ac:dyDescent="0.2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</row>
    <row r="213" spans="1:49" x14ac:dyDescent="0.2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</row>
    <row r="214" spans="1:49" x14ac:dyDescent="0.2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</row>
    <row r="215" spans="1:49" x14ac:dyDescent="0.2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</row>
    <row r="216" spans="1:49" x14ac:dyDescent="0.2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</row>
    <row r="217" spans="1:49" x14ac:dyDescent="0.2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</row>
    <row r="218" spans="1:49" x14ac:dyDescent="0.2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</row>
    <row r="219" spans="1:49" x14ac:dyDescent="0.2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</row>
    <row r="220" spans="1:49" x14ac:dyDescent="0.2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</row>
    <row r="221" spans="1:49" x14ac:dyDescent="0.2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</row>
    <row r="222" spans="1:49" x14ac:dyDescent="0.2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</row>
    <row r="223" spans="1:49" x14ac:dyDescent="0.2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</row>
    <row r="224" spans="1:49" x14ac:dyDescent="0.2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</row>
    <row r="225" spans="1:49" x14ac:dyDescent="0.2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</row>
    <row r="226" spans="1:49" x14ac:dyDescent="0.2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</row>
    <row r="227" spans="1:49" x14ac:dyDescent="0.2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</row>
    <row r="228" spans="1:49" x14ac:dyDescent="0.2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</row>
    <row r="229" spans="1:49" x14ac:dyDescent="0.2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</row>
    <row r="230" spans="1:49" x14ac:dyDescent="0.2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</row>
    <row r="231" spans="1:49" x14ac:dyDescent="0.2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</row>
    <row r="232" spans="1:49" x14ac:dyDescent="0.2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</row>
    <row r="233" spans="1:49" x14ac:dyDescent="0.2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</row>
    <row r="234" spans="1:49" x14ac:dyDescent="0.2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</row>
    <row r="235" spans="1:49" x14ac:dyDescent="0.2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</row>
    <row r="236" spans="1:49" x14ac:dyDescent="0.2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</row>
    <row r="237" spans="1:49" x14ac:dyDescent="0.2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</row>
    <row r="238" spans="1:49" x14ac:dyDescent="0.2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</row>
    <row r="239" spans="1:49" x14ac:dyDescent="0.2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</row>
    <row r="240" spans="1:49" x14ac:dyDescent="0.2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</row>
    <row r="241" spans="1:49" x14ac:dyDescent="0.2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</row>
    <row r="242" spans="1:49" x14ac:dyDescent="0.2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</row>
    <row r="243" spans="1:49" x14ac:dyDescent="0.2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</row>
    <row r="244" spans="1:49" x14ac:dyDescent="0.2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</row>
    <row r="245" spans="1:49" x14ac:dyDescent="0.2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</row>
    <row r="246" spans="1:49" x14ac:dyDescent="0.2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</row>
    <row r="247" spans="1:49" x14ac:dyDescent="0.2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</row>
    <row r="248" spans="1:49" x14ac:dyDescent="0.2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</row>
    <row r="249" spans="1:49" x14ac:dyDescent="0.2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</row>
    <row r="250" spans="1:49" x14ac:dyDescent="0.2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</row>
    <row r="251" spans="1:49" x14ac:dyDescent="0.2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"/>
    </row>
    <row r="252" spans="1:49" x14ac:dyDescent="0.2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</row>
    <row r="253" spans="1:49" x14ac:dyDescent="0.2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</row>
    <row r="254" spans="1:49" x14ac:dyDescent="0.2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  <c r="AR254" s="1"/>
      <c r="AS254" s="1"/>
      <c r="AT254" s="1"/>
      <c r="AU254" s="1"/>
      <c r="AV254" s="1"/>
      <c r="AW254" s="1"/>
    </row>
    <row r="255" spans="1:49" x14ac:dyDescent="0.2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  <c r="AR255" s="1"/>
      <c r="AS255" s="1"/>
      <c r="AT255" s="1"/>
      <c r="AU255" s="1"/>
      <c r="AV255" s="1"/>
      <c r="AW255" s="1"/>
    </row>
    <row r="256" spans="1:49" x14ac:dyDescent="0.2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  <c r="AQ256" s="1"/>
      <c r="AR256" s="1"/>
      <c r="AS256" s="1"/>
      <c r="AT256" s="1"/>
      <c r="AU256" s="1"/>
      <c r="AV256" s="1"/>
      <c r="AW256" s="1"/>
    </row>
    <row r="257" spans="1:49" x14ac:dyDescent="0.2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  <c r="AQ257" s="1"/>
      <c r="AR257" s="1"/>
      <c r="AS257" s="1"/>
      <c r="AT257" s="1"/>
      <c r="AU257" s="1"/>
      <c r="AV257" s="1"/>
      <c r="AW257" s="1"/>
    </row>
    <row r="258" spans="1:49" x14ac:dyDescent="0.2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  <c r="AR258" s="1"/>
      <c r="AS258" s="1"/>
      <c r="AT258" s="1"/>
      <c r="AU258" s="1"/>
      <c r="AV258" s="1"/>
      <c r="AW258" s="1"/>
    </row>
    <row r="259" spans="1:49" x14ac:dyDescent="0.2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  <c r="AQ259" s="1"/>
      <c r="AR259" s="1"/>
      <c r="AS259" s="1"/>
      <c r="AT259" s="1"/>
      <c r="AU259" s="1"/>
      <c r="AV259" s="1"/>
      <c r="AW259" s="1"/>
    </row>
    <row r="260" spans="1:49" x14ac:dyDescent="0.2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1"/>
      <c r="AQ260" s="1"/>
      <c r="AR260" s="1"/>
      <c r="AS260" s="1"/>
      <c r="AT260" s="1"/>
      <c r="AU260" s="1"/>
      <c r="AV260" s="1"/>
      <c r="AW260" s="1"/>
    </row>
    <row r="261" spans="1:49" x14ac:dyDescent="0.2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  <c r="AA261" s="1"/>
      <c r="AB261" s="1"/>
      <c r="AC261" s="1"/>
      <c r="AD261" s="1"/>
      <c r="AE261" s="1"/>
      <c r="AF261" s="1"/>
      <c r="AG261" s="1"/>
      <c r="AH261" s="1"/>
      <c r="AI261" s="1"/>
      <c r="AJ261" s="1"/>
      <c r="AK261" s="1"/>
      <c r="AL261" s="1"/>
      <c r="AM261" s="1"/>
      <c r="AN261" s="1"/>
      <c r="AO261" s="1"/>
      <c r="AP261" s="1"/>
      <c r="AQ261" s="1"/>
      <c r="AR261" s="1"/>
      <c r="AS261" s="1"/>
      <c r="AT261" s="1"/>
      <c r="AU261" s="1"/>
      <c r="AV261" s="1"/>
      <c r="AW261" s="1"/>
    </row>
    <row r="262" spans="1:49" x14ac:dyDescent="0.2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  <c r="AA262" s="1"/>
      <c r="AB262" s="1"/>
      <c r="AC262" s="1"/>
      <c r="AD262" s="1"/>
      <c r="AE262" s="1"/>
      <c r="AF262" s="1"/>
      <c r="AG262" s="1"/>
      <c r="AH262" s="1"/>
      <c r="AI262" s="1"/>
      <c r="AJ262" s="1"/>
      <c r="AK262" s="1"/>
      <c r="AL262" s="1"/>
      <c r="AM262" s="1"/>
      <c r="AN262" s="1"/>
      <c r="AO262" s="1"/>
      <c r="AP262" s="1"/>
      <c r="AQ262" s="1"/>
      <c r="AR262" s="1"/>
      <c r="AS262" s="1"/>
      <c r="AT262" s="1"/>
      <c r="AU262" s="1"/>
      <c r="AV262" s="1"/>
      <c r="AW262" s="1"/>
    </row>
    <row r="263" spans="1:49" x14ac:dyDescent="0.2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  <c r="AA263" s="1"/>
      <c r="AB263" s="1"/>
      <c r="AC263" s="1"/>
      <c r="AD263" s="1"/>
      <c r="AE263" s="1"/>
      <c r="AF263" s="1"/>
      <c r="AG263" s="1"/>
      <c r="AH263" s="1"/>
      <c r="AI263" s="1"/>
      <c r="AJ263" s="1"/>
      <c r="AK263" s="1"/>
      <c r="AL263" s="1"/>
      <c r="AM263" s="1"/>
      <c r="AN263" s="1"/>
      <c r="AO263" s="1"/>
      <c r="AP263" s="1"/>
      <c r="AQ263" s="1"/>
      <c r="AR263" s="1"/>
      <c r="AS263" s="1"/>
      <c r="AT263" s="1"/>
      <c r="AU263" s="1"/>
      <c r="AV263" s="1"/>
      <c r="AW263" s="1"/>
    </row>
    <row r="264" spans="1:49" x14ac:dyDescent="0.2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  <c r="AA264" s="1"/>
      <c r="AB264" s="1"/>
      <c r="AC264" s="1"/>
      <c r="AD264" s="1"/>
      <c r="AE264" s="1"/>
      <c r="AF264" s="1"/>
      <c r="AG264" s="1"/>
      <c r="AH264" s="1"/>
      <c r="AI264" s="1"/>
      <c r="AJ264" s="1"/>
      <c r="AK264" s="1"/>
      <c r="AL264" s="1"/>
      <c r="AM264" s="1"/>
      <c r="AN264" s="1"/>
      <c r="AO264" s="1"/>
      <c r="AP264" s="1"/>
      <c r="AQ264" s="1"/>
      <c r="AR264" s="1"/>
      <c r="AS264" s="1"/>
      <c r="AT264" s="1"/>
      <c r="AU264" s="1"/>
      <c r="AV264" s="1"/>
      <c r="AW264" s="1"/>
    </row>
    <row r="265" spans="1:49" x14ac:dyDescent="0.2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  <c r="AA265" s="1"/>
      <c r="AB265" s="1"/>
      <c r="AC265" s="1"/>
      <c r="AD265" s="1"/>
      <c r="AE265" s="1"/>
      <c r="AF265" s="1"/>
      <c r="AG265" s="1"/>
      <c r="AH265" s="1"/>
      <c r="AI265" s="1"/>
      <c r="AJ265" s="1"/>
      <c r="AK265" s="1"/>
      <c r="AL265" s="1"/>
      <c r="AM265" s="1"/>
      <c r="AN265" s="1"/>
      <c r="AO265" s="1"/>
      <c r="AP265" s="1"/>
      <c r="AQ265" s="1"/>
      <c r="AR265" s="1"/>
      <c r="AS265" s="1"/>
      <c r="AT265" s="1"/>
      <c r="AU265" s="1"/>
      <c r="AV265" s="1"/>
      <c r="AW265" s="1"/>
    </row>
    <row r="266" spans="1:49" x14ac:dyDescent="0.2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  <c r="AA266" s="1"/>
      <c r="AB266" s="1"/>
      <c r="AC266" s="1"/>
      <c r="AD266" s="1"/>
      <c r="AE266" s="1"/>
      <c r="AF266" s="1"/>
      <c r="AG266" s="1"/>
      <c r="AH266" s="1"/>
      <c r="AI266" s="1"/>
      <c r="AJ266" s="1"/>
      <c r="AK266" s="1"/>
      <c r="AL266" s="1"/>
      <c r="AM266" s="1"/>
      <c r="AN266" s="1"/>
      <c r="AO266" s="1"/>
      <c r="AP266" s="1"/>
      <c r="AQ266" s="1"/>
      <c r="AR266" s="1"/>
      <c r="AS266" s="1"/>
      <c r="AT266" s="1"/>
      <c r="AU266" s="1"/>
      <c r="AV266" s="1"/>
      <c r="AW266" s="1"/>
    </row>
    <row r="267" spans="1:49" x14ac:dyDescent="0.2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  <c r="AA267" s="1"/>
      <c r="AB267" s="1"/>
      <c r="AC267" s="1"/>
      <c r="AD267" s="1"/>
      <c r="AE267" s="1"/>
      <c r="AF267" s="1"/>
      <c r="AG267" s="1"/>
      <c r="AH267" s="1"/>
      <c r="AI267" s="1"/>
      <c r="AJ267" s="1"/>
      <c r="AK267" s="1"/>
      <c r="AL267" s="1"/>
      <c r="AM267" s="1"/>
      <c r="AN267" s="1"/>
      <c r="AO267" s="1"/>
      <c r="AP267" s="1"/>
      <c r="AQ267" s="1"/>
      <c r="AR267" s="1"/>
      <c r="AS267" s="1"/>
      <c r="AT267" s="1"/>
      <c r="AU267" s="1"/>
      <c r="AV267" s="1"/>
      <c r="AW267" s="1"/>
    </row>
    <row r="268" spans="1:49" x14ac:dyDescent="0.2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  <c r="AB268" s="1"/>
      <c r="AC268" s="1"/>
      <c r="AD268" s="1"/>
      <c r="AE268" s="1"/>
      <c r="AF268" s="1"/>
      <c r="AG268" s="1"/>
      <c r="AH268" s="1"/>
      <c r="AI268" s="1"/>
      <c r="AJ268" s="1"/>
      <c r="AK268" s="1"/>
      <c r="AL268" s="1"/>
      <c r="AM268" s="1"/>
      <c r="AN268" s="1"/>
      <c r="AO268" s="1"/>
      <c r="AP268" s="1"/>
      <c r="AQ268" s="1"/>
      <c r="AR268" s="1"/>
      <c r="AS268" s="1"/>
      <c r="AT268" s="1"/>
      <c r="AU268" s="1"/>
      <c r="AV268" s="1"/>
      <c r="AW268" s="1"/>
    </row>
    <row r="269" spans="1:49" x14ac:dyDescent="0.2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  <c r="AA269" s="1"/>
      <c r="AB269" s="1"/>
      <c r="AC269" s="1"/>
      <c r="AD269" s="1"/>
      <c r="AE269" s="1"/>
      <c r="AF269" s="1"/>
      <c r="AG269" s="1"/>
      <c r="AH269" s="1"/>
      <c r="AI269" s="1"/>
      <c r="AJ269" s="1"/>
      <c r="AK269" s="1"/>
      <c r="AL269" s="1"/>
      <c r="AM269" s="1"/>
      <c r="AN269" s="1"/>
      <c r="AO269" s="1"/>
      <c r="AP269" s="1"/>
      <c r="AQ269" s="1"/>
      <c r="AR269" s="1"/>
      <c r="AS269" s="1"/>
      <c r="AT269" s="1"/>
      <c r="AU269" s="1"/>
      <c r="AV269" s="1"/>
      <c r="AW269" s="1"/>
    </row>
    <row r="270" spans="1:49" x14ac:dyDescent="0.2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  <c r="AA270" s="1"/>
      <c r="AB270" s="1"/>
      <c r="AC270" s="1"/>
      <c r="AD270" s="1"/>
      <c r="AE270" s="1"/>
      <c r="AF270" s="1"/>
      <c r="AG270" s="1"/>
      <c r="AH270" s="1"/>
      <c r="AI270" s="1"/>
      <c r="AJ270" s="1"/>
      <c r="AK270" s="1"/>
      <c r="AL270" s="1"/>
      <c r="AM270" s="1"/>
      <c r="AN270" s="1"/>
      <c r="AO270" s="1"/>
      <c r="AP270" s="1"/>
      <c r="AQ270" s="1"/>
      <c r="AR270" s="1"/>
      <c r="AS270" s="1"/>
      <c r="AT270" s="1"/>
      <c r="AU270" s="1"/>
      <c r="AV270" s="1"/>
      <c r="AW270" s="1"/>
    </row>
    <row r="271" spans="1:49" x14ac:dyDescent="0.2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  <c r="AA271" s="1"/>
      <c r="AB271" s="1"/>
      <c r="AC271" s="1"/>
      <c r="AD271" s="1"/>
      <c r="AE271" s="1"/>
      <c r="AF271" s="1"/>
      <c r="AG271" s="1"/>
      <c r="AH271" s="1"/>
      <c r="AI271" s="1"/>
      <c r="AJ271" s="1"/>
      <c r="AK271" s="1"/>
      <c r="AL271" s="1"/>
      <c r="AM271" s="1"/>
      <c r="AN271" s="1"/>
      <c r="AO271" s="1"/>
      <c r="AP271" s="1"/>
      <c r="AQ271" s="1"/>
      <c r="AR271" s="1"/>
      <c r="AS271" s="1"/>
      <c r="AT271" s="1"/>
      <c r="AU271" s="1"/>
      <c r="AV271" s="1"/>
      <c r="AW271" s="1"/>
    </row>
    <row r="272" spans="1:49" x14ac:dyDescent="0.2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  <c r="AA272" s="1"/>
      <c r="AB272" s="1"/>
      <c r="AC272" s="1"/>
      <c r="AD272" s="1"/>
      <c r="AE272" s="1"/>
      <c r="AF272" s="1"/>
      <c r="AG272" s="1"/>
      <c r="AH272" s="1"/>
      <c r="AI272" s="1"/>
      <c r="AJ272" s="1"/>
      <c r="AK272" s="1"/>
      <c r="AL272" s="1"/>
      <c r="AM272" s="1"/>
      <c r="AN272" s="1"/>
      <c r="AO272" s="1"/>
      <c r="AP272" s="1"/>
      <c r="AQ272" s="1"/>
      <c r="AR272" s="1"/>
      <c r="AS272" s="1"/>
      <c r="AT272" s="1"/>
      <c r="AU272" s="1"/>
      <c r="AV272" s="1"/>
      <c r="AW272" s="1"/>
    </row>
    <row r="273" spans="1:49" x14ac:dyDescent="0.2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  <c r="AA273" s="1"/>
      <c r="AB273" s="1"/>
      <c r="AC273" s="1"/>
      <c r="AD273" s="1"/>
      <c r="AE273" s="1"/>
      <c r="AF273" s="1"/>
      <c r="AG273" s="1"/>
      <c r="AH273" s="1"/>
      <c r="AI273" s="1"/>
      <c r="AJ273" s="1"/>
      <c r="AK273" s="1"/>
      <c r="AL273" s="1"/>
      <c r="AM273" s="1"/>
      <c r="AN273" s="1"/>
      <c r="AO273" s="1"/>
      <c r="AP273" s="1"/>
      <c r="AQ273" s="1"/>
      <c r="AR273" s="1"/>
      <c r="AS273" s="1"/>
      <c r="AT273" s="1"/>
      <c r="AU273" s="1"/>
      <c r="AV273" s="1"/>
      <c r="AW273" s="1"/>
    </row>
    <row r="274" spans="1:49" x14ac:dyDescent="0.2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  <c r="AA274" s="1"/>
      <c r="AB274" s="1"/>
      <c r="AC274" s="1"/>
      <c r="AD274" s="1"/>
      <c r="AE274" s="1"/>
      <c r="AF274" s="1"/>
      <c r="AG274" s="1"/>
      <c r="AH274" s="1"/>
      <c r="AI274" s="1"/>
      <c r="AJ274" s="1"/>
      <c r="AK274" s="1"/>
      <c r="AL274" s="1"/>
      <c r="AM274" s="1"/>
      <c r="AN274" s="1"/>
      <c r="AO274" s="1"/>
      <c r="AP274" s="1"/>
      <c r="AQ274" s="1"/>
      <c r="AR274" s="1"/>
      <c r="AS274" s="1"/>
      <c r="AT274" s="1"/>
      <c r="AU274" s="1"/>
      <c r="AV274" s="1"/>
      <c r="AW274" s="1"/>
    </row>
    <row r="275" spans="1:49" x14ac:dyDescent="0.2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  <c r="AA275" s="1"/>
      <c r="AB275" s="1"/>
      <c r="AC275" s="1"/>
      <c r="AD275" s="1"/>
      <c r="AE275" s="1"/>
      <c r="AF275" s="1"/>
      <c r="AG275" s="1"/>
      <c r="AH275" s="1"/>
      <c r="AI275" s="1"/>
      <c r="AJ275" s="1"/>
      <c r="AK275" s="1"/>
      <c r="AL275" s="1"/>
      <c r="AM275" s="1"/>
      <c r="AN275" s="1"/>
      <c r="AO275" s="1"/>
      <c r="AP275" s="1"/>
      <c r="AQ275" s="1"/>
      <c r="AR275" s="1"/>
      <c r="AS275" s="1"/>
      <c r="AT275" s="1"/>
      <c r="AU275" s="1"/>
      <c r="AV275" s="1"/>
      <c r="AW275" s="1"/>
    </row>
    <row r="276" spans="1:49" x14ac:dyDescent="0.2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  <c r="AA276" s="1"/>
      <c r="AB276" s="1"/>
      <c r="AC276" s="1"/>
      <c r="AD276" s="1"/>
      <c r="AE276" s="1"/>
      <c r="AF276" s="1"/>
      <c r="AG276" s="1"/>
      <c r="AH276" s="1"/>
      <c r="AI276" s="1"/>
      <c r="AJ276" s="1"/>
      <c r="AK276" s="1"/>
      <c r="AL276" s="1"/>
      <c r="AM276" s="1"/>
      <c r="AN276" s="1"/>
      <c r="AO276" s="1"/>
      <c r="AP276" s="1"/>
      <c r="AQ276" s="1"/>
      <c r="AR276" s="1"/>
      <c r="AS276" s="1"/>
      <c r="AT276" s="1"/>
      <c r="AU276" s="1"/>
      <c r="AV276" s="1"/>
      <c r="AW276" s="1"/>
    </row>
    <row r="277" spans="1:49" x14ac:dyDescent="0.2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  <c r="AA277" s="1"/>
      <c r="AB277" s="1"/>
      <c r="AC277" s="1"/>
      <c r="AD277" s="1"/>
      <c r="AE277" s="1"/>
      <c r="AF277" s="1"/>
      <c r="AG277" s="1"/>
      <c r="AH277" s="1"/>
      <c r="AI277" s="1"/>
      <c r="AJ277" s="1"/>
      <c r="AK277" s="1"/>
      <c r="AL277" s="1"/>
      <c r="AM277" s="1"/>
      <c r="AN277" s="1"/>
      <c r="AO277" s="1"/>
      <c r="AP277" s="1"/>
      <c r="AQ277" s="1"/>
      <c r="AR277" s="1"/>
      <c r="AS277" s="1"/>
      <c r="AT277" s="1"/>
      <c r="AU277" s="1"/>
      <c r="AV277" s="1"/>
      <c r="AW277" s="1"/>
    </row>
    <row r="278" spans="1:49" x14ac:dyDescent="0.2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  <c r="AA278" s="1"/>
      <c r="AB278" s="1"/>
      <c r="AC278" s="1"/>
      <c r="AD278" s="1"/>
      <c r="AE278" s="1"/>
      <c r="AF278" s="1"/>
      <c r="AG278" s="1"/>
      <c r="AH278" s="1"/>
      <c r="AI278" s="1"/>
      <c r="AJ278" s="1"/>
      <c r="AK278" s="1"/>
      <c r="AL278" s="1"/>
      <c r="AM278" s="1"/>
      <c r="AN278" s="1"/>
      <c r="AO278" s="1"/>
      <c r="AP278" s="1"/>
      <c r="AQ278" s="1"/>
      <c r="AR278" s="1"/>
      <c r="AS278" s="1"/>
      <c r="AT278" s="1"/>
      <c r="AU278" s="1"/>
      <c r="AV278" s="1"/>
      <c r="AW278" s="1"/>
    </row>
    <row r="279" spans="1:49" x14ac:dyDescent="0.2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  <c r="AA279" s="1"/>
      <c r="AB279" s="1"/>
      <c r="AC279" s="1"/>
      <c r="AD279" s="1"/>
      <c r="AE279" s="1"/>
      <c r="AF279" s="1"/>
      <c r="AG279" s="1"/>
      <c r="AH279" s="1"/>
      <c r="AI279" s="1"/>
      <c r="AJ279" s="1"/>
      <c r="AK279" s="1"/>
      <c r="AL279" s="1"/>
      <c r="AM279" s="1"/>
      <c r="AN279" s="1"/>
      <c r="AO279" s="1"/>
      <c r="AP279" s="1"/>
      <c r="AQ279" s="1"/>
      <c r="AR279" s="1"/>
      <c r="AS279" s="1"/>
      <c r="AT279" s="1"/>
      <c r="AU279" s="1"/>
      <c r="AV279" s="1"/>
      <c r="AW279" s="1"/>
    </row>
    <row r="280" spans="1:49" x14ac:dyDescent="0.2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  <c r="AA280" s="1"/>
      <c r="AB280" s="1"/>
      <c r="AC280" s="1"/>
      <c r="AD280" s="1"/>
      <c r="AE280" s="1"/>
      <c r="AF280" s="1"/>
      <c r="AG280" s="1"/>
      <c r="AH280" s="1"/>
      <c r="AI280" s="1"/>
      <c r="AJ280" s="1"/>
      <c r="AK280" s="1"/>
      <c r="AL280" s="1"/>
      <c r="AM280" s="1"/>
      <c r="AN280" s="1"/>
      <c r="AO280" s="1"/>
      <c r="AP280" s="1"/>
      <c r="AQ280" s="1"/>
      <c r="AR280" s="1"/>
      <c r="AS280" s="1"/>
      <c r="AT280" s="1"/>
      <c r="AU280" s="1"/>
      <c r="AV280" s="1"/>
      <c r="AW280" s="1"/>
    </row>
    <row r="281" spans="1:49" x14ac:dyDescent="0.2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  <c r="AA281" s="1"/>
      <c r="AB281" s="1"/>
      <c r="AC281" s="1"/>
      <c r="AD281" s="1"/>
      <c r="AE281" s="1"/>
      <c r="AF281" s="1"/>
      <c r="AG281" s="1"/>
      <c r="AH281" s="1"/>
      <c r="AI281" s="1"/>
      <c r="AJ281" s="1"/>
      <c r="AK281" s="1"/>
      <c r="AL281" s="1"/>
      <c r="AM281" s="1"/>
      <c r="AN281" s="1"/>
      <c r="AO281" s="1"/>
      <c r="AP281" s="1"/>
      <c r="AQ281" s="1"/>
      <c r="AR281" s="1"/>
      <c r="AS281" s="1"/>
      <c r="AT281" s="1"/>
      <c r="AU281" s="1"/>
      <c r="AV281" s="1"/>
      <c r="AW281" s="1"/>
    </row>
    <row r="282" spans="1:49" x14ac:dyDescent="0.2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  <c r="AA282" s="1"/>
      <c r="AB282" s="1"/>
      <c r="AC282" s="1"/>
      <c r="AD282" s="1"/>
      <c r="AE282" s="1"/>
      <c r="AF282" s="1"/>
      <c r="AG282" s="1"/>
      <c r="AH282" s="1"/>
      <c r="AI282" s="1"/>
      <c r="AJ282" s="1"/>
      <c r="AK282" s="1"/>
      <c r="AL282" s="1"/>
      <c r="AM282" s="1"/>
      <c r="AN282" s="1"/>
      <c r="AO282" s="1"/>
      <c r="AP282" s="1"/>
      <c r="AQ282" s="1"/>
      <c r="AR282" s="1"/>
      <c r="AS282" s="1"/>
      <c r="AT282" s="1"/>
      <c r="AU282" s="1"/>
      <c r="AV282" s="1"/>
      <c r="AW282" s="1"/>
    </row>
    <row r="283" spans="1:49" x14ac:dyDescent="0.2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  <c r="AA283" s="1"/>
      <c r="AB283" s="1"/>
      <c r="AC283" s="1"/>
      <c r="AD283" s="1"/>
      <c r="AE283" s="1"/>
      <c r="AF283" s="1"/>
      <c r="AG283" s="1"/>
      <c r="AH283" s="1"/>
      <c r="AI283" s="1"/>
      <c r="AJ283" s="1"/>
      <c r="AK283" s="1"/>
      <c r="AL283" s="1"/>
      <c r="AM283" s="1"/>
      <c r="AN283" s="1"/>
      <c r="AO283" s="1"/>
      <c r="AP283" s="1"/>
      <c r="AQ283" s="1"/>
      <c r="AR283" s="1"/>
      <c r="AS283" s="1"/>
      <c r="AT283" s="1"/>
      <c r="AU283" s="1"/>
      <c r="AV283" s="1"/>
      <c r="AW283" s="1"/>
    </row>
    <row r="284" spans="1:49" x14ac:dyDescent="0.2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  <c r="AA284" s="1"/>
      <c r="AB284" s="1"/>
      <c r="AC284" s="1"/>
      <c r="AD284" s="1"/>
      <c r="AE284" s="1"/>
      <c r="AF284" s="1"/>
      <c r="AG284" s="1"/>
      <c r="AH284" s="1"/>
      <c r="AI284" s="1"/>
      <c r="AJ284" s="1"/>
      <c r="AK284" s="1"/>
      <c r="AL284" s="1"/>
      <c r="AM284" s="1"/>
      <c r="AN284" s="1"/>
      <c r="AO284" s="1"/>
      <c r="AP284" s="1"/>
      <c r="AQ284" s="1"/>
      <c r="AR284" s="1"/>
      <c r="AS284" s="1"/>
      <c r="AT284" s="1"/>
      <c r="AU284" s="1"/>
      <c r="AV284" s="1"/>
      <c r="AW284" s="1"/>
    </row>
    <row r="285" spans="1:49" x14ac:dyDescent="0.2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  <c r="AA285" s="1"/>
      <c r="AB285" s="1"/>
      <c r="AC285" s="1"/>
      <c r="AD285" s="1"/>
      <c r="AE285" s="1"/>
      <c r="AF285" s="1"/>
      <c r="AG285" s="1"/>
      <c r="AH285" s="1"/>
      <c r="AI285" s="1"/>
      <c r="AJ285" s="1"/>
      <c r="AK285" s="1"/>
      <c r="AL285" s="1"/>
      <c r="AM285" s="1"/>
      <c r="AN285" s="1"/>
      <c r="AO285" s="1"/>
      <c r="AP285" s="1"/>
      <c r="AQ285" s="1"/>
      <c r="AR285" s="1"/>
      <c r="AS285" s="1"/>
      <c r="AT285" s="1"/>
      <c r="AU285" s="1"/>
      <c r="AV285" s="1"/>
      <c r="AW285" s="1"/>
    </row>
    <row r="286" spans="1:49" x14ac:dyDescent="0.2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  <c r="AA286" s="1"/>
      <c r="AB286" s="1"/>
      <c r="AC286" s="1"/>
      <c r="AD286" s="1"/>
      <c r="AE286" s="1"/>
      <c r="AF286" s="1"/>
      <c r="AG286" s="1"/>
      <c r="AH286" s="1"/>
      <c r="AI286" s="1"/>
      <c r="AJ286" s="1"/>
      <c r="AK286" s="1"/>
      <c r="AL286" s="1"/>
      <c r="AM286" s="1"/>
      <c r="AN286" s="1"/>
      <c r="AO286" s="1"/>
      <c r="AP286" s="1"/>
      <c r="AQ286" s="1"/>
      <c r="AR286" s="1"/>
      <c r="AS286" s="1"/>
      <c r="AT286" s="1"/>
      <c r="AU286" s="1"/>
      <c r="AV286" s="1"/>
      <c r="AW286" s="1"/>
    </row>
    <row r="287" spans="1:49" x14ac:dyDescent="0.2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  <c r="AA287" s="1"/>
      <c r="AB287" s="1"/>
      <c r="AC287" s="1"/>
      <c r="AD287" s="1"/>
      <c r="AE287" s="1"/>
      <c r="AF287" s="1"/>
      <c r="AG287" s="1"/>
      <c r="AH287" s="1"/>
      <c r="AI287" s="1"/>
      <c r="AJ287" s="1"/>
      <c r="AK287" s="1"/>
      <c r="AL287" s="1"/>
      <c r="AM287" s="1"/>
      <c r="AN287" s="1"/>
      <c r="AO287" s="1"/>
      <c r="AP287" s="1"/>
      <c r="AQ287" s="1"/>
      <c r="AR287" s="1"/>
      <c r="AS287" s="1"/>
      <c r="AT287" s="1"/>
      <c r="AU287" s="1"/>
      <c r="AV287" s="1"/>
      <c r="AW287" s="1"/>
    </row>
    <row r="288" spans="1:49" x14ac:dyDescent="0.2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  <c r="AA288" s="1"/>
      <c r="AB288" s="1"/>
      <c r="AC288" s="1"/>
      <c r="AD288" s="1"/>
      <c r="AE288" s="1"/>
      <c r="AF288" s="1"/>
      <c r="AG288" s="1"/>
      <c r="AH288" s="1"/>
      <c r="AI288" s="1"/>
      <c r="AJ288" s="1"/>
      <c r="AK288" s="1"/>
      <c r="AL288" s="1"/>
      <c r="AM288" s="1"/>
      <c r="AN288" s="1"/>
      <c r="AO288" s="1"/>
      <c r="AP288" s="1"/>
      <c r="AQ288" s="1"/>
      <c r="AR288" s="1"/>
      <c r="AS288" s="1"/>
      <c r="AT288" s="1"/>
      <c r="AU288" s="1"/>
      <c r="AV288" s="1"/>
      <c r="AW288" s="1"/>
    </row>
    <row r="289" spans="1:49" x14ac:dyDescent="0.2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  <c r="AA289" s="1"/>
      <c r="AB289" s="1"/>
      <c r="AC289" s="1"/>
      <c r="AD289" s="1"/>
      <c r="AE289" s="1"/>
      <c r="AF289" s="1"/>
      <c r="AG289" s="1"/>
      <c r="AH289" s="1"/>
      <c r="AI289" s="1"/>
      <c r="AJ289" s="1"/>
      <c r="AK289" s="1"/>
      <c r="AL289" s="1"/>
      <c r="AM289" s="1"/>
      <c r="AN289" s="1"/>
      <c r="AO289" s="1"/>
      <c r="AP289" s="1"/>
      <c r="AQ289" s="1"/>
      <c r="AR289" s="1"/>
      <c r="AS289" s="1"/>
      <c r="AT289" s="1"/>
      <c r="AU289" s="1"/>
      <c r="AV289" s="1"/>
      <c r="AW289" s="1"/>
    </row>
    <row r="290" spans="1:49" x14ac:dyDescent="0.2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  <c r="AA290" s="1"/>
      <c r="AB290" s="1"/>
      <c r="AC290" s="1"/>
      <c r="AD290" s="1"/>
      <c r="AE290" s="1"/>
      <c r="AF290" s="1"/>
      <c r="AG290" s="1"/>
      <c r="AH290" s="1"/>
      <c r="AI290" s="1"/>
      <c r="AJ290" s="1"/>
      <c r="AK290" s="1"/>
      <c r="AL290" s="1"/>
      <c r="AM290" s="1"/>
      <c r="AN290" s="1"/>
      <c r="AO290" s="1"/>
      <c r="AP290" s="1"/>
      <c r="AQ290" s="1"/>
      <c r="AR290" s="1"/>
      <c r="AS290" s="1"/>
      <c r="AT290" s="1"/>
      <c r="AU290" s="1"/>
      <c r="AV290" s="1"/>
      <c r="AW290" s="1"/>
    </row>
    <row r="291" spans="1:49" x14ac:dyDescent="0.2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  <c r="AA291" s="1"/>
      <c r="AB291" s="1"/>
      <c r="AC291" s="1"/>
      <c r="AD291" s="1"/>
      <c r="AE291" s="1"/>
      <c r="AF291" s="1"/>
      <c r="AG291" s="1"/>
      <c r="AH291" s="1"/>
      <c r="AI291" s="1"/>
      <c r="AJ291" s="1"/>
      <c r="AK291" s="1"/>
      <c r="AL291" s="1"/>
      <c r="AM291" s="1"/>
      <c r="AN291" s="1"/>
      <c r="AO291" s="1"/>
      <c r="AP291" s="1"/>
      <c r="AQ291" s="1"/>
      <c r="AR291" s="1"/>
      <c r="AS291" s="1"/>
      <c r="AT291" s="1"/>
      <c r="AU291" s="1"/>
      <c r="AV291" s="1"/>
      <c r="AW291" s="1"/>
    </row>
    <row r="292" spans="1:49" x14ac:dyDescent="0.2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  <c r="AA292" s="1"/>
      <c r="AB292" s="1"/>
      <c r="AC292" s="1"/>
      <c r="AD292" s="1"/>
      <c r="AE292" s="1"/>
      <c r="AF292" s="1"/>
      <c r="AG292" s="1"/>
      <c r="AH292" s="1"/>
      <c r="AI292" s="1"/>
      <c r="AJ292" s="1"/>
      <c r="AK292" s="1"/>
      <c r="AL292" s="1"/>
      <c r="AM292" s="1"/>
      <c r="AN292" s="1"/>
      <c r="AO292" s="1"/>
      <c r="AP292" s="1"/>
      <c r="AQ292" s="1"/>
      <c r="AR292" s="1"/>
      <c r="AS292" s="1"/>
      <c r="AT292" s="1"/>
      <c r="AU292" s="1"/>
      <c r="AV292" s="1"/>
      <c r="AW292" s="1"/>
    </row>
    <row r="293" spans="1:49" x14ac:dyDescent="0.2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  <c r="AA293" s="1"/>
      <c r="AB293" s="1"/>
      <c r="AC293" s="1"/>
      <c r="AD293" s="1"/>
      <c r="AE293" s="1"/>
      <c r="AF293" s="1"/>
      <c r="AG293" s="1"/>
      <c r="AH293" s="1"/>
      <c r="AI293" s="1"/>
      <c r="AJ293" s="1"/>
      <c r="AK293" s="1"/>
      <c r="AL293" s="1"/>
      <c r="AM293" s="1"/>
      <c r="AN293" s="1"/>
      <c r="AO293" s="1"/>
      <c r="AP293" s="1"/>
      <c r="AQ293" s="1"/>
      <c r="AR293" s="1"/>
      <c r="AS293" s="1"/>
      <c r="AT293" s="1"/>
      <c r="AU293" s="1"/>
      <c r="AV293" s="1"/>
      <c r="AW293" s="1"/>
    </row>
    <row r="294" spans="1:49" x14ac:dyDescent="0.2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  <c r="AA294" s="1"/>
      <c r="AB294" s="1"/>
      <c r="AC294" s="1"/>
      <c r="AD294" s="1"/>
      <c r="AE294" s="1"/>
      <c r="AF294" s="1"/>
      <c r="AG294" s="1"/>
      <c r="AH294" s="1"/>
      <c r="AI294" s="1"/>
      <c r="AJ294" s="1"/>
      <c r="AK294" s="1"/>
      <c r="AL294" s="1"/>
      <c r="AM294" s="1"/>
      <c r="AN294" s="1"/>
      <c r="AO294" s="1"/>
      <c r="AP294" s="1"/>
      <c r="AQ294" s="1"/>
      <c r="AR294" s="1"/>
      <c r="AS294" s="1"/>
      <c r="AT294" s="1"/>
      <c r="AU294" s="1"/>
      <c r="AV294" s="1"/>
      <c r="AW294" s="1"/>
    </row>
    <row r="295" spans="1:49" x14ac:dyDescent="0.2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  <c r="AA295" s="1"/>
      <c r="AB295" s="1"/>
      <c r="AC295" s="1"/>
      <c r="AD295" s="1"/>
      <c r="AE295" s="1"/>
      <c r="AF295" s="1"/>
      <c r="AG295" s="1"/>
      <c r="AH295" s="1"/>
      <c r="AI295" s="1"/>
      <c r="AJ295" s="1"/>
      <c r="AK295" s="1"/>
      <c r="AL295" s="1"/>
      <c r="AM295" s="1"/>
      <c r="AN295" s="1"/>
      <c r="AO295" s="1"/>
      <c r="AP295" s="1"/>
      <c r="AQ295" s="1"/>
      <c r="AR295" s="1"/>
      <c r="AS295" s="1"/>
      <c r="AT295" s="1"/>
      <c r="AU295" s="1"/>
      <c r="AV295" s="1"/>
      <c r="AW295" s="1"/>
    </row>
    <row r="296" spans="1:49" x14ac:dyDescent="0.2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  <c r="AA296" s="1"/>
      <c r="AB296" s="1"/>
      <c r="AC296" s="1"/>
      <c r="AD296" s="1"/>
      <c r="AE296" s="1"/>
      <c r="AF296" s="1"/>
      <c r="AG296" s="1"/>
      <c r="AH296" s="1"/>
      <c r="AI296" s="1"/>
      <c r="AJ296" s="1"/>
      <c r="AK296" s="1"/>
      <c r="AL296" s="1"/>
      <c r="AM296" s="1"/>
      <c r="AN296" s="1"/>
      <c r="AO296" s="1"/>
      <c r="AP296" s="1"/>
      <c r="AQ296" s="1"/>
      <c r="AR296" s="1"/>
      <c r="AS296" s="1"/>
      <c r="AT296" s="1"/>
      <c r="AU296" s="1"/>
      <c r="AV296" s="1"/>
      <c r="AW296" s="1"/>
    </row>
    <row r="297" spans="1:49" x14ac:dyDescent="0.2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  <c r="AA297" s="1"/>
      <c r="AB297" s="1"/>
      <c r="AC297" s="1"/>
      <c r="AD297" s="1"/>
      <c r="AE297" s="1"/>
      <c r="AF297" s="1"/>
      <c r="AG297" s="1"/>
      <c r="AH297" s="1"/>
      <c r="AI297" s="1"/>
      <c r="AJ297" s="1"/>
      <c r="AK297" s="1"/>
      <c r="AL297" s="1"/>
      <c r="AM297" s="1"/>
      <c r="AN297" s="1"/>
      <c r="AO297" s="1"/>
      <c r="AP297" s="1"/>
      <c r="AQ297" s="1"/>
      <c r="AR297" s="1"/>
      <c r="AS297" s="1"/>
      <c r="AT297" s="1"/>
      <c r="AU297" s="1"/>
      <c r="AV297" s="1"/>
      <c r="AW297" s="1"/>
    </row>
    <row r="298" spans="1:49" x14ac:dyDescent="0.2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  <c r="AA298" s="1"/>
      <c r="AB298" s="1"/>
      <c r="AC298" s="1"/>
      <c r="AD298" s="1"/>
      <c r="AE298" s="1"/>
      <c r="AF298" s="1"/>
      <c r="AG298" s="1"/>
      <c r="AH298" s="1"/>
      <c r="AI298" s="1"/>
      <c r="AJ298" s="1"/>
      <c r="AK298" s="1"/>
      <c r="AL298" s="1"/>
      <c r="AM298" s="1"/>
      <c r="AN298" s="1"/>
      <c r="AO298" s="1"/>
      <c r="AP298" s="1"/>
      <c r="AQ298" s="1"/>
      <c r="AR298" s="1"/>
      <c r="AS298" s="1"/>
      <c r="AT298" s="1"/>
      <c r="AU298" s="1"/>
      <c r="AV298" s="1"/>
      <c r="AW298" s="1"/>
    </row>
    <row r="299" spans="1:49" x14ac:dyDescent="0.2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  <c r="AA299" s="1"/>
      <c r="AB299" s="1"/>
      <c r="AC299" s="1"/>
      <c r="AD299" s="1"/>
      <c r="AE299" s="1"/>
      <c r="AF299" s="1"/>
      <c r="AG299" s="1"/>
      <c r="AH299" s="1"/>
      <c r="AI299" s="1"/>
      <c r="AJ299" s="1"/>
      <c r="AK299" s="1"/>
      <c r="AL299" s="1"/>
      <c r="AM299" s="1"/>
      <c r="AN299" s="1"/>
      <c r="AO299" s="1"/>
      <c r="AP299" s="1"/>
      <c r="AQ299" s="1"/>
      <c r="AR299" s="1"/>
      <c r="AS299" s="1"/>
      <c r="AT299" s="1"/>
      <c r="AU299" s="1"/>
      <c r="AV299" s="1"/>
      <c r="AW299" s="1"/>
    </row>
    <row r="300" spans="1:49" x14ac:dyDescent="0.2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  <c r="AA300" s="1"/>
      <c r="AB300" s="1"/>
      <c r="AC300" s="1"/>
      <c r="AD300" s="1"/>
      <c r="AE300" s="1"/>
      <c r="AF300" s="1"/>
      <c r="AG300" s="1"/>
      <c r="AH300" s="1"/>
      <c r="AI300" s="1"/>
      <c r="AJ300" s="1"/>
      <c r="AK300" s="1"/>
      <c r="AL300" s="1"/>
      <c r="AM300" s="1"/>
      <c r="AN300" s="1"/>
      <c r="AO300" s="1"/>
      <c r="AP300" s="1"/>
      <c r="AQ300" s="1"/>
      <c r="AR300" s="1"/>
      <c r="AS300" s="1"/>
      <c r="AT300" s="1"/>
      <c r="AU300" s="1"/>
      <c r="AV300" s="1"/>
      <c r="AW300" s="1"/>
    </row>
    <row r="301" spans="1:49" x14ac:dyDescent="0.2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  <c r="AA301" s="1"/>
      <c r="AB301" s="1"/>
      <c r="AC301" s="1"/>
      <c r="AD301" s="1"/>
      <c r="AE301" s="1"/>
      <c r="AF301" s="1"/>
      <c r="AG301" s="1"/>
      <c r="AH301" s="1"/>
      <c r="AI301" s="1"/>
      <c r="AJ301" s="1"/>
      <c r="AK301" s="1"/>
      <c r="AL301" s="1"/>
      <c r="AM301" s="1"/>
      <c r="AN301" s="1"/>
      <c r="AO301" s="1"/>
      <c r="AP301" s="1"/>
      <c r="AQ301" s="1"/>
      <c r="AR301" s="1"/>
      <c r="AS301" s="1"/>
      <c r="AT301" s="1"/>
      <c r="AU301" s="1"/>
      <c r="AV301" s="1"/>
      <c r="AW301" s="1"/>
    </row>
    <row r="302" spans="1:49" x14ac:dyDescent="0.2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  <c r="AA302" s="1"/>
      <c r="AB302" s="1"/>
      <c r="AC302" s="1"/>
      <c r="AD302" s="1"/>
      <c r="AE302" s="1"/>
      <c r="AF302" s="1"/>
      <c r="AG302" s="1"/>
      <c r="AH302" s="1"/>
      <c r="AI302" s="1"/>
      <c r="AJ302" s="1"/>
      <c r="AK302" s="1"/>
      <c r="AL302" s="1"/>
      <c r="AM302" s="1"/>
      <c r="AN302" s="1"/>
      <c r="AO302" s="1"/>
      <c r="AP302" s="1"/>
      <c r="AQ302" s="1"/>
      <c r="AR302" s="1"/>
      <c r="AS302" s="1"/>
      <c r="AT302" s="1"/>
      <c r="AU302" s="1"/>
      <c r="AV302" s="1"/>
      <c r="AW302" s="1"/>
    </row>
    <row r="303" spans="1:49" x14ac:dyDescent="0.2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  <c r="AA303" s="1"/>
      <c r="AB303" s="1"/>
      <c r="AC303" s="1"/>
      <c r="AD303" s="1"/>
      <c r="AE303" s="1"/>
      <c r="AF303" s="1"/>
      <c r="AG303" s="1"/>
      <c r="AH303" s="1"/>
      <c r="AI303" s="1"/>
      <c r="AJ303" s="1"/>
      <c r="AK303" s="1"/>
      <c r="AL303" s="1"/>
      <c r="AM303" s="1"/>
      <c r="AN303" s="1"/>
      <c r="AO303" s="1"/>
      <c r="AP303" s="1"/>
      <c r="AQ303" s="1"/>
      <c r="AR303" s="1"/>
      <c r="AS303" s="1"/>
      <c r="AT303" s="1"/>
      <c r="AU303" s="1"/>
      <c r="AV303" s="1"/>
      <c r="AW303" s="1"/>
    </row>
    <row r="304" spans="1:49" x14ac:dyDescent="0.2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  <c r="AA304" s="1"/>
      <c r="AB304" s="1"/>
      <c r="AC304" s="1"/>
      <c r="AD304" s="1"/>
      <c r="AE304" s="1"/>
      <c r="AF304" s="1"/>
      <c r="AG304" s="1"/>
      <c r="AH304" s="1"/>
      <c r="AI304" s="1"/>
      <c r="AJ304" s="1"/>
      <c r="AK304" s="1"/>
      <c r="AL304" s="1"/>
      <c r="AM304" s="1"/>
      <c r="AN304" s="1"/>
      <c r="AO304" s="1"/>
      <c r="AP304" s="1"/>
      <c r="AQ304" s="1"/>
      <c r="AR304" s="1"/>
      <c r="AS304" s="1"/>
      <c r="AT304" s="1"/>
      <c r="AU304" s="1"/>
      <c r="AV304" s="1"/>
      <c r="AW304" s="1"/>
    </row>
    <row r="305" spans="1:49" x14ac:dyDescent="0.2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  <c r="AA305" s="1"/>
      <c r="AB305" s="1"/>
      <c r="AC305" s="1"/>
      <c r="AD305" s="1"/>
      <c r="AE305" s="1"/>
      <c r="AF305" s="1"/>
      <c r="AG305" s="1"/>
      <c r="AH305" s="1"/>
      <c r="AI305" s="1"/>
      <c r="AJ305" s="1"/>
      <c r="AK305" s="1"/>
      <c r="AL305" s="1"/>
      <c r="AM305" s="1"/>
      <c r="AN305" s="1"/>
      <c r="AO305" s="1"/>
      <c r="AP305" s="1"/>
      <c r="AQ305" s="1"/>
      <c r="AR305" s="1"/>
      <c r="AS305" s="1"/>
      <c r="AT305" s="1"/>
      <c r="AU305" s="1"/>
      <c r="AV305" s="1"/>
      <c r="AW305" s="1"/>
    </row>
    <row r="306" spans="1:49" x14ac:dyDescent="0.2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  <c r="AA306" s="1"/>
      <c r="AB306" s="1"/>
      <c r="AC306" s="1"/>
      <c r="AD306" s="1"/>
      <c r="AE306" s="1"/>
      <c r="AF306" s="1"/>
      <c r="AG306" s="1"/>
      <c r="AH306" s="1"/>
      <c r="AI306" s="1"/>
      <c r="AJ306" s="1"/>
      <c r="AK306" s="1"/>
      <c r="AL306" s="1"/>
      <c r="AM306" s="1"/>
      <c r="AN306" s="1"/>
      <c r="AO306" s="1"/>
      <c r="AP306" s="1"/>
      <c r="AQ306" s="1"/>
      <c r="AR306" s="1"/>
      <c r="AS306" s="1"/>
      <c r="AT306" s="1"/>
      <c r="AU306" s="1"/>
      <c r="AV306" s="1"/>
      <c r="AW306" s="1"/>
    </row>
    <row r="307" spans="1:49" x14ac:dyDescent="0.2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  <c r="AA307" s="1"/>
      <c r="AB307" s="1"/>
      <c r="AC307" s="1"/>
      <c r="AD307" s="1"/>
      <c r="AE307" s="1"/>
      <c r="AF307" s="1"/>
      <c r="AG307" s="1"/>
      <c r="AH307" s="1"/>
      <c r="AI307" s="1"/>
      <c r="AJ307" s="1"/>
      <c r="AK307" s="1"/>
      <c r="AL307" s="1"/>
      <c r="AM307" s="1"/>
      <c r="AN307" s="1"/>
      <c r="AO307" s="1"/>
      <c r="AP307" s="1"/>
      <c r="AQ307" s="1"/>
      <c r="AR307" s="1"/>
      <c r="AS307" s="1"/>
      <c r="AT307" s="1"/>
      <c r="AU307" s="1"/>
      <c r="AV307" s="1"/>
      <c r="AW307" s="1"/>
    </row>
    <row r="308" spans="1:49" x14ac:dyDescent="0.2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  <c r="AA308" s="1"/>
      <c r="AB308" s="1"/>
      <c r="AC308" s="1"/>
      <c r="AD308" s="1"/>
      <c r="AE308" s="1"/>
      <c r="AF308" s="1"/>
      <c r="AG308" s="1"/>
      <c r="AH308" s="1"/>
      <c r="AI308" s="1"/>
      <c r="AJ308" s="1"/>
      <c r="AK308" s="1"/>
      <c r="AL308" s="1"/>
      <c r="AM308" s="1"/>
      <c r="AN308" s="1"/>
      <c r="AO308" s="1"/>
      <c r="AP308" s="1"/>
      <c r="AQ308" s="1"/>
      <c r="AR308" s="1"/>
      <c r="AS308" s="1"/>
      <c r="AT308" s="1"/>
      <c r="AU308" s="1"/>
      <c r="AV308" s="1"/>
      <c r="AW308" s="1"/>
    </row>
    <row r="309" spans="1:49" x14ac:dyDescent="0.2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  <c r="AA309" s="1"/>
      <c r="AB309" s="1"/>
      <c r="AC309" s="1"/>
      <c r="AD309" s="1"/>
      <c r="AE309" s="1"/>
      <c r="AF309" s="1"/>
      <c r="AG309" s="1"/>
      <c r="AH309" s="1"/>
      <c r="AI309" s="1"/>
      <c r="AJ309" s="1"/>
      <c r="AK309" s="1"/>
      <c r="AL309" s="1"/>
      <c r="AM309" s="1"/>
      <c r="AN309" s="1"/>
      <c r="AO309" s="1"/>
      <c r="AP309" s="1"/>
      <c r="AQ309" s="1"/>
      <c r="AR309" s="1"/>
      <c r="AS309" s="1"/>
      <c r="AT309" s="1"/>
      <c r="AU309" s="1"/>
      <c r="AV309" s="1"/>
      <c r="AW309" s="1"/>
    </row>
    <row r="310" spans="1:49" x14ac:dyDescent="0.2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  <c r="AA310" s="1"/>
      <c r="AB310" s="1"/>
      <c r="AC310" s="1"/>
      <c r="AD310" s="1"/>
      <c r="AE310" s="1"/>
      <c r="AF310" s="1"/>
      <c r="AG310" s="1"/>
      <c r="AH310" s="1"/>
      <c r="AI310" s="1"/>
      <c r="AJ310" s="1"/>
      <c r="AK310" s="1"/>
      <c r="AL310" s="1"/>
      <c r="AM310" s="1"/>
      <c r="AN310" s="1"/>
      <c r="AO310" s="1"/>
      <c r="AP310" s="1"/>
      <c r="AQ310" s="1"/>
      <c r="AR310" s="1"/>
      <c r="AS310" s="1"/>
      <c r="AT310" s="1"/>
      <c r="AU310" s="1"/>
      <c r="AV310" s="1"/>
      <c r="AW310" s="1"/>
    </row>
    <row r="311" spans="1:49" x14ac:dyDescent="0.2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  <c r="AA311" s="1"/>
      <c r="AB311" s="1"/>
      <c r="AC311" s="1"/>
      <c r="AD311" s="1"/>
      <c r="AE311" s="1"/>
      <c r="AF311" s="1"/>
      <c r="AG311" s="1"/>
      <c r="AH311" s="1"/>
      <c r="AI311" s="1"/>
      <c r="AJ311" s="1"/>
      <c r="AK311" s="1"/>
      <c r="AL311" s="1"/>
      <c r="AM311" s="1"/>
      <c r="AN311" s="1"/>
      <c r="AO311" s="1"/>
      <c r="AP311" s="1"/>
      <c r="AQ311" s="1"/>
      <c r="AR311" s="1"/>
      <c r="AS311" s="1"/>
      <c r="AT311" s="1"/>
      <c r="AU311" s="1"/>
      <c r="AV311" s="1"/>
      <c r="AW311" s="1"/>
    </row>
    <row r="312" spans="1:49" x14ac:dyDescent="0.2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  <c r="AA312" s="1"/>
      <c r="AB312" s="1"/>
      <c r="AC312" s="1"/>
      <c r="AD312" s="1"/>
      <c r="AE312" s="1"/>
      <c r="AF312" s="1"/>
      <c r="AG312" s="1"/>
      <c r="AH312" s="1"/>
      <c r="AI312" s="1"/>
      <c r="AJ312" s="1"/>
      <c r="AK312" s="1"/>
      <c r="AL312" s="1"/>
      <c r="AM312" s="1"/>
      <c r="AN312" s="1"/>
      <c r="AO312" s="1"/>
      <c r="AP312" s="1"/>
      <c r="AQ312" s="1"/>
      <c r="AR312" s="1"/>
      <c r="AS312" s="1"/>
      <c r="AT312" s="1"/>
      <c r="AU312" s="1"/>
      <c r="AV312" s="1"/>
      <c r="AW312" s="1"/>
    </row>
    <row r="313" spans="1:49" x14ac:dyDescent="0.2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  <c r="AA313" s="1"/>
      <c r="AB313" s="1"/>
      <c r="AC313" s="1"/>
      <c r="AD313" s="1"/>
      <c r="AE313" s="1"/>
      <c r="AF313" s="1"/>
      <c r="AG313" s="1"/>
      <c r="AH313" s="1"/>
      <c r="AI313" s="1"/>
      <c r="AJ313" s="1"/>
      <c r="AK313" s="1"/>
      <c r="AL313" s="1"/>
      <c r="AM313" s="1"/>
      <c r="AN313" s="1"/>
      <c r="AO313" s="1"/>
      <c r="AP313" s="1"/>
      <c r="AQ313" s="1"/>
      <c r="AR313" s="1"/>
      <c r="AS313" s="1"/>
      <c r="AT313" s="1"/>
      <c r="AU313" s="1"/>
      <c r="AV313" s="1"/>
      <c r="AW313" s="1"/>
    </row>
    <row r="314" spans="1:49" x14ac:dyDescent="0.2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  <c r="AA314" s="1"/>
      <c r="AB314" s="1"/>
      <c r="AC314" s="1"/>
      <c r="AD314" s="1"/>
      <c r="AE314" s="1"/>
      <c r="AF314" s="1"/>
      <c r="AG314" s="1"/>
      <c r="AH314" s="1"/>
      <c r="AI314" s="1"/>
      <c r="AJ314" s="1"/>
      <c r="AK314" s="1"/>
      <c r="AL314" s="1"/>
      <c r="AM314" s="1"/>
      <c r="AN314" s="1"/>
      <c r="AO314" s="1"/>
      <c r="AP314" s="1"/>
      <c r="AQ314" s="1"/>
      <c r="AR314" s="1"/>
      <c r="AS314" s="1"/>
      <c r="AT314" s="1"/>
      <c r="AU314" s="1"/>
      <c r="AV314" s="1"/>
      <c r="AW314" s="1"/>
    </row>
    <row r="315" spans="1:49" x14ac:dyDescent="0.2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  <c r="AA315" s="1"/>
      <c r="AB315" s="1"/>
      <c r="AC315" s="1"/>
      <c r="AD315" s="1"/>
      <c r="AE315" s="1"/>
      <c r="AF315" s="1"/>
      <c r="AG315" s="1"/>
      <c r="AH315" s="1"/>
      <c r="AI315" s="1"/>
      <c r="AJ315" s="1"/>
      <c r="AK315" s="1"/>
      <c r="AL315" s="1"/>
      <c r="AM315" s="1"/>
      <c r="AN315" s="1"/>
      <c r="AO315" s="1"/>
      <c r="AP315" s="1"/>
      <c r="AQ315" s="1"/>
      <c r="AR315" s="1"/>
      <c r="AS315" s="1"/>
      <c r="AT315" s="1"/>
      <c r="AU315" s="1"/>
      <c r="AV315" s="1"/>
      <c r="AW315" s="1"/>
    </row>
    <row r="316" spans="1:49" x14ac:dyDescent="0.2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A316" s="1"/>
      <c r="AB316" s="1"/>
      <c r="AC316" s="1"/>
      <c r="AD316" s="1"/>
      <c r="AE316" s="1"/>
      <c r="AF316" s="1"/>
      <c r="AG316" s="1"/>
      <c r="AH316" s="1"/>
      <c r="AI316" s="1"/>
      <c r="AJ316" s="1"/>
      <c r="AK316" s="1"/>
      <c r="AL316" s="1"/>
      <c r="AM316" s="1"/>
      <c r="AN316" s="1"/>
      <c r="AO316" s="1"/>
      <c r="AP316" s="1"/>
      <c r="AQ316" s="1"/>
      <c r="AR316" s="1"/>
      <c r="AS316" s="1"/>
      <c r="AT316" s="1"/>
      <c r="AU316" s="1"/>
      <c r="AV316" s="1"/>
      <c r="AW316" s="1"/>
    </row>
    <row r="317" spans="1:49" x14ac:dyDescent="0.2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  <c r="AA317" s="1"/>
      <c r="AB317" s="1"/>
      <c r="AC317" s="1"/>
      <c r="AD317" s="1"/>
      <c r="AE317" s="1"/>
      <c r="AF317" s="1"/>
      <c r="AG317" s="1"/>
      <c r="AH317" s="1"/>
      <c r="AI317" s="1"/>
      <c r="AJ317" s="1"/>
      <c r="AK317" s="1"/>
      <c r="AL317" s="1"/>
      <c r="AM317" s="1"/>
      <c r="AN317" s="1"/>
      <c r="AO317" s="1"/>
      <c r="AP317" s="1"/>
      <c r="AQ317" s="1"/>
      <c r="AR317" s="1"/>
      <c r="AS317" s="1"/>
      <c r="AT317" s="1"/>
      <c r="AU317" s="1"/>
      <c r="AV317" s="1"/>
      <c r="AW317" s="1"/>
    </row>
    <row r="318" spans="1:49" x14ac:dyDescent="0.2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  <c r="AA318" s="1"/>
      <c r="AB318" s="1"/>
      <c r="AC318" s="1"/>
      <c r="AD318" s="1"/>
      <c r="AE318" s="1"/>
      <c r="AF318" s="1"/>
      <c r="AG318" s="1"/>
      <c r="AH318" s="1"/>
      <c r="AI318" s="1"/>
      <c r="AJ318" s="1"/>
      <c r="AK318" s="1"/>
      <c r="AL318" s="1"/>
      <c r="AM318" s="1"/>
      <c r="AN318" s="1"/>
      <c r="AO318" s="1"/>
      <c r="AP318" s="1"/>
      <c r="AQ318" s="1"/>
      <c r="AR318" s="1"/>
      <c r="AS318" s="1"/>
      <c r="AT318" s="1"/>
      <c r="AU318" s="1"/>
      <c r="AV318" s="1"/>
      <c r="AW318" s="1"/>
    </row>
    <row r="319" spans="1:49" x14ac:dyDescent="0.2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  <c r="AA319" s="1"/>
      <c r="AB319" s="1"/>
      <c r="AC319" s="1"/>
      <c r="AD319" s="1"/>
      <c r="AE319" s="1"/>
      <c r="AF319" s="1"/>
      <c r="AG319" s="1"/>
      <c r="AH319" s="1"/>
      <c r="AI319" s="1"/>
      <c r="AJ319" s="1"/>
      <c r="AK319" s="1"/>
      <c r="AL319" s="1"/>
      <c r="AM319" s="1"/>
      <c r="AN319" s="1"/>
      <c r="AO319" s="1"/>
      <c r="AP319" s="1"/>
      <c r="AQ319" s="1"/>
      <c r="AR319" s="1"/>
      <c r="AS319" s="1"/>
      <c r="AT319" s="1"/>
      <c r="AU319" s="1"/>
      <c r="AV319" s="1"/>
      <c r="AW319" s="1"/>
    </row>
    <row r="320" spans="1:49" x14ac:dyDescent="0.2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  <c r="AA320" s="1"/>
      <c r="AB320" s="1"/>
      <c r="AC320" s="1"/>
      <c r="AD320" s="1"/>
      <c r="AE320" s="1"/>
      <c r="AF320" s="1"/>
      <c r="AG320" s="1"/>
      <c r="AH320" s="1"/>
      <c r="AI320" s="1"/>
      <c r="AJ320" s="1"/>
      <c r="AK320" s="1"/>
      <c r="AL320" s="1"/>
      <c r="AM320" s="1"/>
      <c r="AN320" s="1"/>
      <c r="AO320" s="1"/>
      <c r="AP320" s="1"/>
      <c r="AQ320" s="1"/>
      <c r="AR320" s="1"/>
      <c r="AS320" s="1"/>
      <c r="AT320" s="1"/>
      <c r="AU320" s="1"/>
      <c r="AV320" s="1"/>
      <c r="AW320" s="1"/>
    </row>
    <row r="321" spans="1:49" x14ac:dyDescent="0.2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  <c r="AA321" s="1"/>
      <c r="AB321" s="1"/>
      <c r="AC321" s="1"/>
      <c r="AD321" s="1"/>
      <c r="AE321" s="1"/>
      <c r="AF321" s="1"/>
      <c r="AG321" s="1"/>
      <c r="AH321" s="1"/>
      <c r="AI321" s="1"/>
      <c r="AJ321" s="1"/>
      <c r="AK321" s="1"/>
      <c r="AL321" s="1"/>
      <c r="AM321" s="1"/>
      <c r="AN321" s="1"/>
      <c r="AO321" s="1"/>
      <c r="AP321" s="1"/>
      <c r="AQ321" s="1"/>
      <c r="AR321" s="1"/>
      <c r="AS321" s="1"/>
      <c r="AT321" s="1"/>
      <c r="AU321" s="1"/>
      <c r="AV321" s="1"/>
      <c r="AW321" s="1"/>
    </row>
    <row r="322" spans="1:49" x14ac:dyDescent="0.2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  <c r="AA322" s="1"/>
      <c r="AB322" s="1"/>
      <c r="AC322" s="1"/>
      <c r="AD322" s="1"/>
      <c r="AE322" s="1"/>
      <c r="AF322" s="1"/>
      <c r="AG322" s="1"/>
      <c r="AH322" s="1"/>
      <c r="AI322" s="1"/>
      <c r="AJ322" s="1"/>
      <c r="AK322" s="1"/>
      <c r="AL322" s="1"/>
      <c r="AM322" s="1"/>
      <c r="AN322" s="1"/>
      <c r="AO322" s="1"/>
      <c r="AP322" s="1"/>
      <c r="AQ322" s="1"/>
      <c r="AR322" s="1"/>
      <c r="AS322" s="1"/>
      <c r="AT322" s="1"/>
      <c r="AU322" s="1"/>
      <c r="AV322" s="1"/>
      <c r="AW322" s="1"/>
    </row>
    <row r="323" spans="1:49" x14ac:dyDescent="0.2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  <c r="AA323" s="1"/>
      <c r="AB323" s="1"/>
      <c r="AC323" s="1"/>
      <c r="AD323" s="1"/>
      <c r="AE323" s="1"/>
      <c r="AF323" s="1"/>
      <c r="AG323" s="1"/>
      <c r="AH323" s="1"/>
      <c r="AI323" s="1"/>
      <c r="AJ323" s="1"/>
      <c r="AK323" s="1"/>
      <c r="AL323" s="1"/>
      <c r="AM323" s="1"/>
      <c r="AN323" s="1"/>
      <c r="AO323" s="1"/>
      <c r="AP323" s="1"/>
      <c r="AQ323" s="1"/>
      <c r="AR323" s="1"/>
      <c r="AS323" s="1"/>
      <c r="AT323" s="1"/>
      <c r="AU323" s="1"/>
      <c r="AV323" s="1"/>
      <c r="AW323" s="1"/>
    </row>
    <row r="324" spans="1:49" x14ac:dyDescent="0.2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  <c r="AA324" s="1"/>
      <c r="AB324" s="1"/>
      <c r="AC324" s="1"/>
      <c r="AD324" s="1"/>
      <c r="AE324" s="1"/>
      <c r="AF324" s="1"/>
      <c r="AG324" s="1"/>
      <c r="AH324" s="1"/>
      <c r="AI324" s="1"/>
      <c r="AJ324" s="1"/>
      <c r="AK324" s="1"/>
      <c r="AL324" s="1"/>
      <c r="AM324" s="1"/>
      <c r="AN324" s="1"/>
      <c r="AO324" s="1"/>
      <c r="AP324" s="1"/>
      <c r="AQ324" s="1"/>
      <c r="AR324" s="1"/>
      <c r="AS324" s="1"/>
      <c r="AT324" s="1"/>
      <c r="AU324" s="1"/>
      <c r="AV324" s="1"/>
      <c r="AW324" s="1"/>
    </row>
    <row r="325" spans="1:49" x14ac:dyDescent="0.2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  <c r="AA325" s="1"/>
      <c r="AB325" s="1"/>
      <c r="AC325" s="1"/>
      <c r="AD325" s="1"/>
      <c r="AE325" s="1"/>
      <c r="AF325" s="1"/>
      <c r="AG325" s="1"/>
      <c r="AH325" s="1"/>
      <c r="AI325" s="1"/>
      <c r="AJ325" s="1"/>
      <c r="AK325" s="1"/>
      <c r="AL325" s="1"/>
      <c r="AM325" s="1"/>
      <c r="AN325" s="1"/>
      <c r="AO325" s="1"/>
      <c r="AP325" s="1"/>
      <c r="AQ325" s="1"/>
      <c r="AR325" s="1"/>
      <c r="AS325" s="1"/>
      <c r="AT325" s="1"/>
      <c r="AU325" s="1"/>
      <c r="AV325" s="1"/>
      <c r="AW325" s="1"/>
    </row>
    <row r="326" spans="1:49" x14ac:dyDescent="0.2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  <c r="AA326" s="1"/>
      <c r="AB326" s="1"/>
      <c r="AC326" s="1"/>
      <c r="AD326" s="1"/>
      <c r="AE326" s="1"/>
      <c r="AF326" s="1"/>
      <c r="AG326" s="1"/>
      <c r="AH326" s="1"/>
      <c r="AI326" s="1"/>
      <c r="AJ326" s="1"/>
      <c r="AK326" s="1"/>
      <c r="AL326" s="1"/>
      <c r="AM326" s="1"/>
      <c r="AN326" s="1"/>
      <c r="AO326" s="1"/>
      <c r="AP326" s="1"/>
      <c r="AQ326" s="1"/>
      <c r="AR326" s="1"/>
      <c r="AS326" s="1"/>
      <c r="AT326" s="1"/>
      <c r="AU326" s="1"/>
      <c r="AV326" s="1"/>
      <c r="AW326" s="1"/>
    </row>
    <row r="327" spans="1:49" x14ac:dyDescent="0.2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  <c r="AA327" s="1"/>
      <c r="AB327" s="1"/>
      <c r="AC327" s="1"/>
      <c r="AD327" s="1"/>
      <c r="AE327" s="1"/>
      <c r="AF327" s="1"/>
      <c r="AG327" s="1"/>
      <c r="AH327" s="1"/>
      <c r="AI327" s="1"/>
      <c r="AJ327" s="1"/>
      <c r="AK327" s="1"/>
      <c r="AL327" s="1"/>
      <c r="AM327" s="1"/>
      <c r="AN327" s="1"/>
      <c r="AO327" s="1"/>
      <c r="AP327" s="1"/>
      <c r="AQ327" s="1"/>
      <c r="AR327" s="1"/>
      <c r="AS327" s="1"/>
      <c r="AT327" s="1"/>
      <c r="AU327" s="1"/>
      <c r="AV327" s="1"/>
      <c r="AW327" s="1"/>
    </row>
    <row r="328" spans="1:49" x14ac:dyDescent="0.2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  <c r="AA328" s="1"/>
      <c r="AB328" s="1"/>
      <c r="AC328" s="1"/>
      <c r="AD328" s="1"/>
      <c r="AE328" s="1"/>
      <c r="AF328" s="1"/>
      <c r="AG328" s="1"/>
      <c r="AH328" s="1"/>
      <c r="AI328" s="1"/>
      <c r="AJ328" s="1"/>
      <c r="AK328" s="1"/>
      <c r="AL328" s="1"/>
      <c r="AM328" s="1"/>
      <c r="AN328" s="1"/>
      <c r="AO328" s="1"/>
      <c r="AP328" s="1"/>
      <c r="AQ328" s="1"/>
      <c r="AR328" s="1"/>
      <c r="AS328" s="1"/>
      <c r="AT328" s="1"/>
      <c r="AU328" s="1"/>
      <c r="AV328" s="1"/>
      <c r="AW328" s="1"/>
    </row>
    <row r="329" spans="1:49" x14ac:dyDescent="0.2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  <c r="AA329" s="1"/>
      <c r="AB329" s="1"/>
      <c r="AC329" s="1"/>
      <c r="AD329" s="1"/>
      <c r="AE329" s="1"/>
      <c r="AF329" s="1"/>
      <c r="AG329" s="1"/>
      <c r="AH329" s="1"/>
      <c r="AI329" s="1"/>
      <c r="AJ329" s="1"/>
      <c r="AK329" s="1"/>
      <c r="AL329" s="1"/>
      <c r="AM329" s="1"/>
      <c r="AN329" s="1"/>
      <c r="AO329" s="1"/>
      <c r="AP329" s="1"/>
      <c r="AQ329" s="1"/>
      <c r="AR329" s="1"/>
      <c r="AS329" s="1"/>
      <c r="AT329" s="1"/>
      <c r="AU329" s="1"/>
      <c r="AV329" s="1"/>
      <c r="AW329" s="1"/>
    </row>
    <row r="330" spans="1:49" x14ac:dyDescent="0.2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  <c r="AA330" s="1"/>
      <c r="AB330" s="1"/>
      <c r="AC330" s="1"/>
      <c r="AD330" s="1"/>
      <c r="AE330" s="1"/>
      <c r="AF330" s="1"/>
      <c r="AG330" s="1"/>
      <c r="AH330" s="1"/>
      <c r="AI330" s="1"/>
      <c r="AJ330" s="1"/>
      <c r="AK330" s="1"/>
      <c r="AL330" s="1"/>
      <c r="AM330" s="1"/>
      <c r="AN330" s="1"/>
      <c r="AO330" s="1"/>
      <c r="AP330" s="1"/>
      <c r="AQ330" s="1"/>
      <c r="AR330" s="1"/>
      <c r="AS330" s="1"/>
      <c r="AT330" s="1"/>
      <c r="AU330" s="1"/>
      <c r="AV330" s="1"/>
      <c r="AW330" s="1"/>
    </row>
    <row r="331" spans="1:49" x14ac:dyDescent="0.2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  <c r="AA331" s="1"/>
      <c r="AB331" s="1"/>
      <c r="AC331" s="1"/>
      <c r="AD331" s="1"/>
      <c r="AE331" s="1"/>
      <c r="AF331" s="1"/>
      <c r="AG331" s="1"/>
      <c r="AH331" s="1"/>
      <c r="AI331" s="1"/>
      <c r="AJ331" s="1"/>
      <c r="AK331" s="1"/>
      <c r="AL331" s="1"/>
      <c r="AM331" s="1"/>
      <c r="AN331" s="1"/>
      <c r="AO331" s="1"/>
      <c r="AP331" s="1"/>
      <c r="AQ331" s="1"/>
      <c r="AR331" s="1"/>
      <c r="AS331" s="1"/>
      <c r="AT331" s="1"/>
      <c r="AU331" s="1"/>
      <c r="AV331" s="1"/>
      <c r="AW331" s="1"/>
    </row>
    <row r="332" spans="1:49" x14ac:dyDescent="0.2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  <c r="AA332" s="1"/>
      <c r="AB332" s="1"/>
      <c r="AC332" s="1"/>
      <c r="AD332" s="1"/>
      <c r="AE332" s="1"/>
      <c r="AF332" s="1"/>
      <c r="AG332" s="1"/>
      <c r="AH332" s="1"/>
      <c r="AI332" s="1"/>
      <c r="AJ332" s="1"/>
      <c r="AK332" s="1"/>
      <c r="AL332" s="1"/>
      <c r="AM332" s="1"/>
      <c r="AN332" s="1"/>
      <c r="AO332" s="1"/>
      <c r="AP332" s="1"/>
      <c r="AQ332" s="1"/>
      <c r="AR332" s="1"/>
      <c r="AS332" s="1"/>
      <c r="AT332" s="1"/>
      <c r="AU332" s="1"/>
      <c r="AV332" s="1"/>
      <c r="AW332" s="1"/>
    </row>
    <row r="333" spans="1:49" x14ac:dyDescent="0.2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  <c r="AA333" s="1"/>
      <c r="AB333" s="1"/>
      <c r="AC333" s="1"/>
      <c r="AD333" s="1"/>
      <c r="AE333" s="1"/>
      <c r="AF333" s="1"/>
      <c r="AG333" s="1"/>
      <c r="AH333" s="1"/>
      <c r="AI333" s="1"/>
      <c r="AJ333" s="1"/>
      <c r="AK333" s="1"/>
      <c r="AL333" s="1"/>
      <c r="AM333" s="1"/>
      <c r="AN333" s="1"/>
      <c r="AO333" s="1"/>
      <c r="AP333" s="1"/>
      <c r="AQ333" s="1"/>
      <c r="AR333" s="1"/>
      <c r="AS333" s="1"/>
      <c r="AT333" s="1"/>
      <c r="AU333" s="1"/>
      <c r="AV333" s="1"/>
      <c r="AW333" s="1"/>
    </row>
    <row r="334" spans="1:49" x14ac:dyDescent="0.2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  <c r="AA334" s="1"/>
      <c r="AB334" s="1"/>
      <c r="AC334" s="1"/>
      <c r="AD334" s="1"/>
      <c r="AE334" s="1"/>
      <c r="AF334" s="1"/>
      <c r="AG334" s="1"/>
      <c r="AH334" s="1"/>
      <c r="AI334" s="1"/>
      <c r="AJ334" s="1"/>
      <c r="AK334" s="1"/>
      <c r="AL334" s="1"/>
      <c r="AM334" s="1"/>
      <c r="AN334" s="1"/>
      <c r="AO334" s="1"/>
      <c r="AP334" s="1"/>
      <c r="AQ334" s="1"/>
      <c r="AR334" s="1"/>
      <c r="AS334" s="1"/>
      <c r="AT334" s="1"/>
      <c r="AU334" s="1"/>
      <c r="AV334" s="1"/>
      <c r="AW334" s="1"/>
    </row>
    <row r="335" spans="1:49" x14ac:dyDescent="0.2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  <c r="AA335" s="1"/>
      <c r="AB335" s="1"/>
      <c r="AC335" s="1"/>
      <c r="AD335" s="1"/>
      <c r="AE335" s="1"/>
      <c r="AF335" s="1"/>
      <c r="AG335" s="1"/>
      <c r="AH335" s="1"/>
      <c r="AI335" s="1"/>
      <c r="AJ335" s="1"/>
      <c r="AK335" s="1"/>
      <c r="AL335" s="1"/>
      <c r="AM335" s="1"/>
      <c r="AN335" s="1"/>
      <c r="AO335" s="1"/>
      <c r="AP335" s="1"/>
      <c r="AQ335" s="1"/>
      <c r="AR335" s="1"/>
      <c r="AS335" s="1"/>
      <c r="AT335" s="1"/>
      <c r="AU335" s="1"/>
      <c r="AV335" s="1"/>
      <c r="AW335" s="1"/>
    </row>
    <row r="336" spans="1:49" x14ac:dyDescent="0.2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  <c r="AA336" s="1"/>
      <c r="AB336" s="1"/>
      <c r="AC336" s="1"/>
      <c r="AD336" s="1"/>
      <c r="AE336" s="1"/>
      <c r="AF336" s="1"/>
      <c r="AG336" s="1"/>
      <c r="AH336" s="1"/>
      <c r="AI336" s="1"/>
      <c r="AJ336" s="1"/>
      <c r="AK336" s="1"/>
      <c r="AL336" s="1"/>
      <c r="AM336" s="1"/>
      <c r="AN336" s="1"/>
      <c r="AO336" s="1"/>
      <c r="AP336" s="1"/>
      <c r="AQ336" s="1"/>
      <c r="AR336" s="1"/>
      <c r="AS336" s="1"/>
      <c r="AT336" s="1"/>
      <c r="AU336" s="1"/>
      <c r="AV336" s="1"/>
      <c r="AW336" s="1"/>
    </row>
    <row r="337" spans="1:49" x14ac:dyDescent="0.2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  <c r="AA337" s="1"/>
      <c r="AB337" s="1"/>
      <c r="AC337" s="1"/>
      <c r="AD337" s="1"/>
      <c r="AE337" s="1"/>
      <c r="AF337" s="1"/>
      <c r="AG337" s="1"/>
      <c r="AH337" s="1"/>
      <c r="AI337" s="1"/>
      <c r="AJ337" s="1"/>
      <c r="AK337" s="1"/>
      <c r="AL337" s="1"/>
      <c r="AM337" s="1"/>
      <c r="AN337" s="1"/>
      <c r="AO337" s="1"/>
      <c r="AP337" s="1"/>
      <c r="AQ337" s="1"/>
      <c r="AR337" s="1"/>
      <c r="AS337" s="1"/>
      <c r="AT337" s="1"/>
      <c r="AU337" s="1"/>
      <c r="AV337" s="1"/>
      <c r="AW337" s="1"/>
    </row>
    <row r="338" spans="1:49" x14ac:dyDescent="0.2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  <c r="AA338" s="1"/>
      <c r="AB338" s="1"/>
      <c r="AC338" s="1"/>
      <c r="AD338" s="1"/>
      <c r="AE338" s="1"/>
      <c r="AF338" s="1"/>
      <c r="AG338" s="1"/>
      <c r="AH338" s="1"/>
      <c r="AI338" s="1"/>
      <c r="AJ338" s="1"/>
      <c r="AK338" s="1"/>
      <c r="AL338" s="1"/>
      <c r="AM338" s="1"/>
      <c r="AN338" s="1"/>
      <c r="AO338" s="1"/>
      <c r="AP338" s="1"/>
      <c r="AQ338" s="1"/>
      <c r="AR338" s="1"/>
      <c r="AS338" s="1"/>
      <c r="AT338" s="1"/>
      <c r="AU338" s="1"/>
      <c r="AV338" s="1"/>
      <c r="AW338" s="1"/>
    </row>
    <row r="339" spans="1:49" x14ac:dyDescent="0.2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  <c r="AA339" s="1"/>
      <c r="AB339" s="1"/>
      <c r="AC339" s="1"/>
      <c r="AD339" s="1"/>
      <c r="AE339" s="1"/>
      <c r="AF339" s="1"/>
      <c r="AG339" s="1"/>
      <c r="AH339" s="1"/>
      <c r="AI339" s="1"/>
      <c r="AJ339" s="1"/>
      <c r="AK339" s="1"/>
      <c r="AL339" s="1"/>
      <c r="AM339" s="1"/>
      <c r="AN339" s="1"/>
      <c r="AO339" s="1"/>
      <c r="AP339" s="1"/>
      <c r="AQ339" s="1"/>
      <c r="AR339" s="1"/>
      <c r="AS339" s="1"/>
      <c r="AT339" s="1"/>
      <c r="AU339" s="1"/>
      <c r="AV339" s="1"/>
      <c r="AW339" s="1"/>
    </row>
    <row r="340" spans="1:49" x14ac:dyDescent="0.2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  <c r="AA340" s="1"/>
      <c r="AB340" s="1"/>
      <c r="AC340" s="1"/>
      <c r="AD340" s="1"/>
      <c r="AE340" s="1"/>
      <c r="AF340" s="1"/>
      <c r="AG340" s="1"/>
      <c r="AH340" s="1"/>
      <c r="AI340" s="1"/>
      <c r="AJ340" s="1"/>
      <c r="AK340" s="1"/>
      <c r="AL340" s="1"/>
      <c r="AM340" s="1"/>
      <c r="AN340" s="1"/>
      <c r="AO340" s="1"/>
      <c r="AP340" s="1"/>
      <c r="AQ340" s="1"/>
      <c r="AR340" s="1"/>
      <c r="AS340" s="1"/>
      <c r="AT340" s="1"/>
      <c r="AU340" s="1"/>
      <c r="AV340" s="1"/>
      <c r="AW340" s="1"/>
    </row>
    <row r="341" spans="1:49" x14ac:dyDescent="0.2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  <c r="AA341" s="1"/>
      <c r="AB341" s="1"/>
      <c r="AC341" s="1"/>
      <c r="AD341" s="1"/>
      <c r="AE341" s="1"/>
      <c r="AF341" s="1"/>
      <c r="AG341" s="1"/>
      <c r="AH341" s="1"/>
      <c r="AI341" s="1"/>
      <c r="AJ341" s="1"/>
      <c r="AK341" s="1"/>
      <c r="AL341" s="1"/>
      <c r="AM341" s="1"/>
      <c r="AN341" s="1"/>
      <c r="AO341" s="1"/>
      <c r="AP341" s="1"/>
      <c r="AQ341" s="1"/>
      <c r="AR341" s="1"/>
      <c r="AS341" s="1"/>
      <c r="AT341" s="1"/>
      <c r="AU341" s="1"/>
      <c r="AV341" s="1"/>
      <c r="AW341" s="1"/>
    </row>
    <row r="342" spans="1:49" x14ac:dyDescent="0.2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  <c r="AA342" s="1"/>
      <c r="AB342" s="1"/>
      <c r="AC342" s="1"/>
      <c r="AD342" s="1"/>
      <c r="AE342" s="1"/>
      <c r="AF342" s="1"/>
      <c r="AG342" s="1"/>
      <c r="AH342" s="1"/>
      <c r="AI342" s="1"/>
      <c r="AJ342" s="1"/>
      <c r="AK342" s="1"/>
      <c r="AL342" s="1"/>
      <c r="AM342" s="1"/>
      <c r="AN342" s="1"/>
      <c r="AO342" s="1"/>
      <c r="AP342" s="1"/>
      <c r="AQ342" s="1"/>
      <c r="AR342" s="1"/>
      <c r="AS342" s="1"/>
      <c r="AT342" s="1"/>
      <c r="AU342" s="1"/>
      <c r="AV342" s="1"/>
      <c r="AW342" s="1"/>
    </row>
    <row r="343" spans="1:49" x14ac:dyDescent="0.2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  <c r="AA343" s="1"/>
      <c r="AB343" s="1"/>
      <c r="AC343" s="1"/>
      <c r="AD343" s="1"/>
      <c r="AE343" s="1"/>
      <c r="AF343" s="1"/>
      <c r="AG343" s="1"/>
      <c r="AH343" s="1"/>
      <c r="AI343" s="1"/>
      <c r="AJ343" s="1"/>
      <c r="AK343" s="1"/>
      <c r="AL343" s="1"/>
      <c r="AM343" s="1"/>
      <c r="AN343" s="1"/>
      <c r="AO343" s="1"/>
      <c r="AP343" s="1"/>
      <c r="AQ343" s="1"/>
      <c r="AR343" s="1"/>
      <c r="AS343" s="1"/>
      <c r="AT343" s="1"/>
      <c r="AU343" s="1"/>
      <c r="AV343" s="1"/>
      <c r="AW343" s="1"/>
    </row>
    <row r="344" spans="1:49" x14ac:dyDescent="0.2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  <c r="AA344" s="1"/>
      <c r="AB344" s="1"/>
      <c r="AC344" s="1"/>
      <c r="AD344" s="1"/>
      <c r="AE344" s="1"/>
      <c r="AF344" s="1"/>
      <c r="AG344" s="1"/>
      <c r="AH344" s="1"/>
      <c r="AI344" s="1"/>
      <c r="AJ344" s="1"/>
      <c r="AK344" s="1"/>
      <c r="AL344" s="1"/>
      <c r="AM344" s="1"/>
      <c r="AN344" s="1"/>
      <c r="AO344" s="1"/>
      <c r="AP344" s="1"/>
      <c r="AQ344" s="1"/>
      <c r="AR344" s="1"/>
      <c r="AS344" s="1"/>
      <c r="AT344" s="1"/>
      <c r="AU344" s="1"/>
      <c r="AV344" s="1"/>
      <c r="AW344" s="1"/>
    </row>
    <row r="345" spans="1:49" x14ac:dyDescent="0.2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  <c r="AA345" s="1"/>
      <c r="AB345" s="1"/>
      <c r="AC345" s="1"/>
      <c r="AD345" s="1"/>
      <c r="AE345" s="1"/>
      <c r="AF345" s="1"/>
      <c r="AG345" s="1"/>
      <c r="AH345" s="1"/>
      <c r="AI345" s="1"/>
      <c r="AJ345" s="1"/>
      <c r="AK345" s="1"/>
      <c r="AL345" s="1"/>
      <c r="AM345" s="1"/>
      <c r="AN345" s="1"/>
      <c r="AO345" s="1"/>
      <c r="AP345" s="1"/>
      <c r="AQ345" s="1"/>
      <c r="AR345" s="1"/>
      <c r="AS345" s="1"/>
      <c r="AT345" s="1"/>
      <c r="AU345" s="1"/>
      <c r="AV345" s="1"/>
      <c r="AW345" s="1"/>
    </row>
    <row r="346" spans="1:49" x14ac:dyDescent="0.2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  <c r="AA346" s="1"/>
      <c r="AB346" s="1"/>
      <c r="AC346" s="1"/>
      <c r="AD346" s="1"/>
      <c r="AE346" s="1"/>
      <c r="AF346" s="1"/>
      <c r="AG346" s="1"/>
      <c r="AH346" s="1"/>
      <c r="AI346" s="1"/>
      <c r="AJ346" s="1"/>
      <c r="AK346" s="1"/>
      <c r="AL346" s="1"/>
      <c r="AM346" s="1"/>
      <c r="AN346" s="1"/>
      <c r="AO346" s="1"/>
      <c r="AP346" s="1"/>
      <c r="AQ346" s="1"/>
      <c r="AR346" s="1"/>
      <c r="AS346" s="1"/>
      <c r="AT346" s="1"/>
      <c r="AU346" s="1"/>
      <c r="AV346" s="1"/>
      <c r="AW346" s="1"/>
    </row>
    <row r="347" spans="1:49" x14ac:dyDescent="0.2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  <c r="AA347" s="1"/>
      <c r="AB347" s="1"/>
      <c r="AC347" s="1"/>
      <c r="AD347" s="1"/>
      <c r="AE347" s="1"/>
      <c r="AF347" s="1"/>
      <c r="AG347" s="1"/>
      <c r="AH347" s="1"/>
      <c r="AI347" s="1"/>
      <c r="AJ347" s="1"/>
      <c r="AK347" s="1"/>
      <c r="AL347" s="1"/>
      <c r="AM347" s="1"/>
      <c r="AN347" s="1"/>
      <c r="AO347" s="1"/>
      <c r="AP347" s="1"/>
      <c r="AQ347" s="1"/>
      <c r="AR347" s="1"/>
      <c r="AS347" s="1"/>
      <c r="AT347" s="1"/>
      <c r="AU347" s="1"/>
      <c r="AV347" s="1"/>
      <c r="AW347" s="1"/>
    </row>
    <row r="348" spans="1:49" x14ac:dyDescent="0.2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  <c r="AA348" s="1"/>
      <c r="AB348" s="1"/>
      <c r="AC348" s="1"/>
      <c r="AD348" s="1"/>
      <c r="AE348" s="1"/>
      <c r="AF348" s="1"/>
      <c r="AG348" s="1"/>
      <c r="AH348" s="1"/>
      <c r="AI348" s="1"/>
      <c r="AJ348" s="1"/>
      <c r="AK348" s="1"/>
      <c r="AL348" s="1"/>
      <c r="AM348" s="1"/>
      <c r="AN348" s="1"/>
      <c r="AO348" s="1"/>
      <c r="AP348" s="1"/>
      <c r="AQ348" s="1"/>
      <c r="AR348" s="1"/>
      <c r="AS348" s="1"/>
      <c r="AT348" s="1"/>
      <c r="AU348" s="1"/>
      <c r="AV348" s="1"/>
      <c r="AW348" s="1"/>
    </row>
    <row r="349" spans="1:49" x14ac:dyDescent="0.2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  <c r="AA349" s="1"/>
      <c r="AB349" s="1"/>
      <c r="AC349" s="1"/>
      <c r="AD349" s="1"/>
      <c r="AE349" s="1"/>
      <c r="AF349" s="1"/>
      <c r="AG349" s="1"/>
      <c r="AH349" s="1"/>
      <c r="AI349" s="1"/>
      <c r="AJ349" s="1"/>
      <c r="AK349" s="1"/>
      <c r="AL349" s="1"/>
      <c r="AM349" s="1"/>
      <c r="AN349" s="1"/>
      <c r="AO349" s="1"/>
      <c r="AP349" s="1"/>
      <c r="AQ349" s="1"/>
      <c r="AR349" s="1"/>
      <c r="AS349" s="1"/>
      <c r="AT349" s="1"/>
      <c r="AU349" s="1"/>
      <c r="AV349" s="1"/>
      <c r="AW349" s="1"/>
    </row>
    <row r="350" spans="1:49" x14ac:dyDescent="0.2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  <c r="AA350" s="1"/>
      <c r="AB350" s="1"/>
      <c r="AC350" s="1"/>
      <c r="AD350" s="1"/>
      <c r="AE350" s="1"/>
      <c r="AF350" s="1"/>
      <c r="AG350" s="1"/>
      <c r="AH350" s="1"/>
      <c r="AI350" s="1"/>
      <c r="AJ350" s="1"/>
      <c r="AK350" s="1"/>
      <c r="AL350" s="1"/>
      <c r="AM350" s="1"/>
      <c r="AN350" s="1"/>
      <c r="AO350" s="1"/>
      <c r="AP350" s="1"/>
      <c r="AQ350" s="1"/>
      <c r="AR350" s="1"/>
      <c r="AS350" s="1"/>
      <c r="AT350" s="1"/>
      <c r="AU350" s="1"/>
      <c r="AV350" s="1"/>
      <c r="AW350" s="1"/>
    </row>
    <row r="351" spans="1:49" x14ac:dyDescent="0.2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  <c r="AA351" s="1"/>
      <c r="AB351" s="1"/>
      <c r="AC351" s="1"/>
      <c r="AD351" s="1"/>
      <c r="AE351" s="1"/>
      <c r="AF351" s="1"/>
      <c r="AG351" s="1"/>
      <c r="AH351" s="1"/>
      <c r="AI351" s="1"/>
      <c r="AJ351" s="1"/>
      <c r="AK351" s="1"/>
      <c r="AL351" s="1"/>
      <c r="AM351" s="1"/>
      <c r="AN351" s="1"/>
      <c r="AO351" s="1"/>
      <c r="AP351" s="1"/>
      <c r="AQ351" s="1"/>
      <c r="AR351" s="1"/>
      <c r="AS351" s="1"/>
      <c r="AT351" s="1"/>
      <c r="AU351" s="1"/>
      <c r="AV351" s="1"/>
      <c r="AW351" s="1"/>
    </row>
    <row r="352" spans="1:49" x14ac:dyDescent="0.2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  <c r="AA352" s="1"/>
      <c r="AB352" s="1"/>
      <c r="AC352" s="1"/>
      <c r="AD352" s="1"/>
      <c r="AE352" s="1"/>
      <c r="AF352" s="1"/>
      <c r="AG352" s="1"/>
      <c r="AH352" s="1"/>
      <c r="AI352" s="1"/>
      <c r="AJ352" s="1"/>
      <c r="AK352" s="1"/>
      <c r="AL352" s="1"/>
      <c r="AM352" s="1"/>
      <c r="AN352" s="1"/>
      <c r="AO352" s="1"/>
      <c r="AP352" s="1"/>
      <c r="AQ352" s="1"/>
      <c r="AR352" s="1"/>
      <c r="AS352" s="1"/>
      <c r="AT352" s="1"/>
      <c r="AU352" s="1"/>
      <c r="AV352" s="1"/>
      <c r="AW352" s="1"/>
    </row>
    <row r="353" spans="1:49" x14ac:dyDescent="0.2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  <c r="AA353" s="1"/>
      <c r="AB353" s="1"/>
      <c r="AC353" s="1"/>
      <c r="AD353" s="1"/>
      <c r="AE353" s="1"/>
      <c r="AF353" s="1"/>
      <c r="AG353" s="1"/>
      <c r="AH353" s="1"/>
      <c r="AI353" s="1"/>
      <c r="AJ353" s="1"/>
      <c r="AK353" s="1"/>
      <c r="AL353" s="1"/>
      <c r="AM353" s="1"/>
      <c r="AN353" s="1"/>
      <c r="AO353" s="1"/>
      <c r="AP353" s="1"/>
      <c r="AQ353" s="1"/>
      <c r="AR353" s="1"/>
      <c r="AS353" s="1"/>
      <c r="AT353" s="1"/>
      <c r="AU353" s="1"/>
      <c r="AV353" s="1"/>
      <c r="AW353" s="1"/>
    </row>
    <row r="354" spans="1:49" x14ac:dyDescent="0.2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  <c r="AA354" s="1"/>
      <c r="AB354" s="1"/>
      <c r="AC354" s="1"/>
      <c r="AD354" s="1"/>
      <c r="AE354" s="1"/>
      <c r="AF354" s="1"/>
      <c r="AG354" s="1"/>
      <c r="AH354" s="1"/>
      <c r="AI354" s="1"/>
      <c r="AJ354" s="1"/>
      <c r="AK354" s="1"/>
      <c r="AL354" s="1"/>
      <c r="AM354" s="1"/>
      <c r="AN354" s="1"/>
      <c r="AO354" s="1"/>
      <c r="AP354" s="1"/>
      <c r="AQ354" s="1"/>
      <c r="AR354" s="1"/>
      <c r="AS354" s="1"/>
      <c r="AT354" s="1"/>
      <c r="AU354" s="1"/>
      <c r="AV354" s="1"/>
      <c r="AW354" s="1"/>
    </row>
    <row r="355" spans="1:49" x14ac:dyDescent="0.2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  <c r="AA355" s="1"/>
      <c r="AB355" s="1"/>
      <c r="AC355" s="1"/>
      <c r="AD355" s="1"/>
      <c r="AE355" s="1"/>
      <c r="AF355" s="1"/>
      <c r="AG355" s="1"/>
      <c r="AH355" s="1"/>
      <c r="AI355" s="1"/>
      <c r="AJ355" s="1"/>
      <c r="AK355" s="1"/>
      <c r="AL355" s="1"/>
      <c r="AM355" s="1"/>
      <c r="AN355" s="1"/>
      <c r="AO355" s="1"/>
      <c r="AP355" s="1"/>
      <c r="AQ355" s="1"/>
      <c r="AR355" s="1"/>
      <c r="AS355" s="1"/>
      <c r="AT355" s="1"/>
      <c r="AU355" s="1"/>
      <c r="AV355" s="1"/>
      <c r="AW355" s="1"/>
    </row>
    <row r="356" spans="1:49" x14ac:dyDescent="0.2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  <c r="AA356" s="1"/>
      <c r="AB356" s="1"/>
      <c r="AC356" s="1"/>
      <c r="AD356" s="1"/>
      <c r="AE356" s="1"/>
      <c r="AF356" s="1"/>
      <c r="AG356" s="1"/>
      <c r="AH356" s="1"/>
      <c r="AI356" s="1"/>
      <c r="AJ356" s="1"/>
      <c r="AK356" s="1"/>
      <c r="AL356" s="1"/>
      <c r="AM356" s="1"/>
      <c r="AN356" s="1"/>
      <c r="AO356" s="1"/>
      <c r="AP356" s="1"/>
      <c r="AQ356" s="1"/>
      <c r="AR356" s="1"/>
      <c r="AS356" s="1"/>
      <c r="AT356" s="1"/>
      <c r="AU356" s="1"/>
      <c r="AV356" s="1"/>
      <c r="AW356" s="1"/>
    </row>
    <row r="357" spans="1:49" x14ac:dyDescent="0.2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  <c r="AA357" s="1"/>
      <c r="AB357" s="1"/>
      <c r="AC357" s="1"/>
      <c r="AD357" s="1"/>
      <c r="AE357" s="1"/>
      <c r="AF357" s="1"/>
      <c r="AG357" s="1"/>
      <c r="AH357" s="1"/>
      <c r="AI357" s="1"/>
      <c r="AJ357" s="1"/>
      <c r="AK357" s="1"/>
      <c r="AL357" s="1"/>
      <c r="AM357" s="1"/>
      <c r="AN357" s="1"/>
      <c r="AO357" s="1"/>
      <c r="AP357" s="1"/>
      <c r="AQ357" s="1"/>
      <c r="AR357" s="1"/>
      <c r="AS357" s="1"/>
      <c r="AT357" s="1"/>
      <c r="AU357" s="1"/>
      <c r="AV357" s="1"/>
      <c r="AW357" s="1"/>
    </row>
    <row r="358" spans="1:49" x14ac:dyDescent="0.2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  <c r="AA358" s="1"/>
      <c r="AB358" s="1"/>
      <c r="AC358" s="1"/>
      <c r="AD358" s="1"/>
      <c r="AE358" s="1"/>
      <c r="AF358" s="1"/>
      <c r="AG358" s="1"/>
      <c r="AH358" s="1"/>
      <c r="AI358" s="1"/>
      <c r="AJ358" s="1"/>
      <c r="AK358" s="1"/>
      <c r="AL358" s="1"/>
      <c r="AM358" s="1"/>
      <c r="AN358" s="1"/>
      <c r="AO358" s="1"/>
      <c r="AP358" s="1"/>
      <c r="AQ358" s="1"/>
      <c r="AR358" s="1"/>
      <c r="AS358" s="1"/>
      <c r="AT358" s="1"/>
      <c r="AU358" s="1"/>
      <c r="AV358" s="1"/>
      <c r="AW358" s="1"/>
    </row>
    <row r="359" spans="1:49" x14ac:dyDescent="0.2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  <c r="AA359" s="1"/>
      <c r="AB359" s="1"/>
      <c r="AC359" s="1"/>
      <c r="AD359" s="1"/>
      <c r="AE359" s="1"/>
      <c r="AF359" s="1"/>
      <c r="AG359" s="1"/>
      <c r="AH359" s="1"/>
      <c r="AI359" s="1"/>
      <c r="AJ359" s="1"/>
      <c r="AK359" s="1"/>
      <c r="AL359" s="1"/>
      <c r="AM359" s="1"/>
      <c r="AN359" s="1"/>
      <c r="AO359" s="1"/>
      <c r="AP359" s="1"/>
      <c r="AQ359" s="1"/>
      <c r="AR359" s="1"/>
      <c r="AS359" s="1"/>
      <c r="AT359" s="1"/>
      <c r="AU359" s="1"/>
      <c r="AV359" s="1"/>
      <c r="AW359" s="1"/>
    </row>
    <row r="360" spans="1:49" x14ac:dyDescent="0.2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  <c r="AA360" s="1"/>
      <c r="AB360" s="1"/>
      <c r="AC360" s="1"/>
      <c r="AD360" s="1"/>
      <c r="AE360" s="1"/>
      <c r="AF360" s="1"/>
      <c r="AG360" s="1"/>
      <c r="AH360" s="1"/>
      <c r="AI360" s="1"/>
      <c r="AJ360" s="1"/>
      <c r="AK360" s="1"/>
      <c r="AL360" s="1"/>
      <c r="AM360" s="1"/>
      <c r="AN360" s="1"/>
      <c r="AO360" s="1"/>
      <c r="AP360" s="1"/>
      <c r="AQ360" s="1"/>
      <c r="AR360" s="1"/>
      <c r="AS360" s="1"/>
      <c r="AT360" s="1"/>
      <c r="AU360" s="1"/>
      <c r="AV360" s="1"/>
      <c r="AW360" s="1"/>
    </row>
    <row r="361" spans="1:49" x14ac:dyDescent="0.2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  <c r="AA361" s="1"/>
      <c r="AB361" s="1"/>
      <c r="AC361" s="1"/>
      <c r="AD361" s="1"/>
      <c r="AE361" s="1"/>
      <c r="AF361" s="1"/>
      <c r="AG361" s="1"/>
      <c r="AH361" s="1"/>
      <c r="AI361" s="1"/>
      <c r="AJ361" s="1"/>
      <c r="AK361" s="1"/>
      <c r="AL361" s="1"/>
      <c r="AM361" s="1"/>
      <c r="AN361" s="1"/>
      <c r="AO361" s="1"/>
      <c r="AP361" s="1"/>
      <c r="AQ361" s="1"/>
      <c r="AR361" s="1"/>
      <c r="AS361" s="1"/>
      <c r="AT361" s="1"/>
      <c r="AU361" s="1"/>
      <c r="AV361" s="1"/>
      <c r="AW361" s="1"/>
    </row>
    <row r="362" spans="1:49" x14ac:dyDescent="0.2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  <c r="AA362" s="1"/>
      <c r="AB362" s="1"/>
      <c r="AC362" s="1"/>
      <c r="AD362" s="1"/>
      <c r="AE362" s="1"/>
      <c r="AF362" s="1"/>
      <c r="AG362" s="1"/>
      <c r="AH362" s="1"/>
      <c r="AI362" s="1"/>
      <c r="AJ362" s="1"/>
      <c r="AK362" s="1"/>
      <c r="AL362" s="1"/>
      <c r="AM362" s="1"/>
      <c r="AN362" s="1"/>
      <c r="AO362" s="1"/>
      <c r="AP362" s="1"/>
      <c r="AQ362" s="1"/>
      <c r="AR362" s="1"/>
      <c r="AS362" s="1"/>
      <c r="AT362" s="1"/>
      <c r="AU362" s="1"/>
      <c r="AV362" s="1"/>
      <c r="AW362" s="1"/>
    </row>
    <row r="363" spans="1:49" x14ac:dyDescent="0.2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  <c r="AA363" s="1"/>
      <c r="AB363" s="1"/>
      <c r="AC363" s="1"/>
      <c r="AD363" s="1"/>
      <c r="AE363" s="1"/>
      <c r="AF363" s="1"/>
      <c r="AG363" s="1"/>
      <c r="AH363" s="1"/>
      <c r="AI363" s="1"/>
      <c r="AJ363" s="1"/>
      <c r="AK363" s="1"/>
      <c r="AL363" s="1"/>
      <c r="AM363" s="1"/>
      <c r="AN363" s="1"/>
      <c r="AO363" s="1"/>
      <c r="AP363" s="1"/>
      <c r="AQ363" s="1"/>
      <c r="AR363" s="1"/>
      <c r="AS363" s="1"/>
      <c r="AT363" s="1"/>
      <c r="AU363" s="1"/>
      <c r="AV363" s="1"/>
      <c r="AW363" s="1"/>
    </row>
    <row r="364" spans="1:49" x14ac:dyDescent="0.2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  <c r="AA364" s="1"/>
      <c r="AB364" s="1"/>
      <c r="AC364" s="1"/>
      <c r="AD364" s="1"/>
      <c r="AE364" s="1"/>
      <c r="AF364" s="1"/>
      <c r="AG364" s="1"/>
      <c r="AH364" s="1"/>
      <c r="AI364" s="1"/>
      <c r="AJ364" s="1"/>
      <c r="AK364" s="1"/>
      <c r="AL364" s="1"/>
      <c r="AM364" s="1"/>
      <c r="AN364" s="1"/>
      <c r="AO364" s="1"/>
      <c r="AP364" s="1"/>
      <c r="AQ364" s="1"/>
      <c r="AR364" s="1"/>
      <c r="AS364" s="1"/>
      <c r="AT364" s="1"/>
      <c r="AU364" s="1"/>
      <c r="AV364" s="1"/>
      <c r="AW364" s="1"/>
    </row>
    <row r="365" spans="1:49" x14ac:dyDescent="0.2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  <c r="AA365" s="1"/>
      <c r="AB365" s="1"/>
      <c r="AC365" s="1"/>
      <c r="AD365" s="1"/>
      <c r="AE365" s="1"/>
      <c r="AF365" s="1"/>
      <c r="AG365" s="1"/>
      <c r="AH365" s="1"/>
      <c r="AI365" s="1"/>
      <c r="AJ365" s="1"/>
      <c r="AK365" s="1"/>
      <c r="AL365" s="1"/>
      <c r="AM365" s="1"/>
      <c r="AN365" s="1"/>
      <c r="AO365" s="1"/>
      <c r="AP365" s="1"/>
      <c r="AQ365" s="1"/>
      <c r="AR365" s="1"/>
      <c r="AS365" s="1"/>
      <c r="AT365" s="1"/>
      <c r="AU365" s="1"/>
      <c r="AV365" s="1"/>
      <c r="AW365" s="1"/>
    </row>
    <row r="366" spans="1:49" x14ac:dyDescent="0.2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  <c r="AA366" s="1"/>
      <c r="AB366" s="1"/>
      <c r="AC366" s="1"/>
      <c r="AD366" s="1"/>
      <c r="AE366" s="1"/>
      <c r="AF366" s="1"/>
      <c r="AG366" s="1"/>
      <c r="AH366" s="1"/>
      <c r="AI366" s="1"/>
      <c r="AJ366" s="1"/>
      <c r="AK366" s="1"/>
      <c r="AL366" s="1"/>
      <c r="AM366" s="1"/>
      <c r="AN366" s="1"/>
      <c r="AO366" s="1"/>
      <c r="AP366" s="1"/>
      <c r="AQ366" s="1"/>
      <c r="AR366" s="1"/>
      <c r="AS366" s="1"/>
      <c r="AT366" s="1"/>
      <c r="AU366" s="1"/>
      <c r="AV366" s="1"/>
      <c r="AW366" s="1"/>
    </row>
    <row r="367" spans="1:49" x14ac:dyDescent="0.2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  <c r="AA367" s="1"/>
      <c r="AB367" s="1"/>
      <c r="AC367" s="1"/>
      <c r="AD367" s="1"/>
      <c r="AE367" s="1"/>
      <c r="AF367" s="1"/>
      <c r="AG367" s="1"/>
      <c r="AH367" s="1"/>
      <c r="AI367" s="1"/>
      <c r="AJ367" s="1"/>
      <c r="AK367" s="1"/>
      <c r="AL367" s="1"/>
      <c r="AM367" s="1"/>
      <c r="AN367" s="1"/>
      <c r="AO367" s="1"/>
      <c r="AP367" s="1"/>
      <c r="AQ367" s="1"/>
      <c r="AR367" s="1"/>
      <c r="AS367" s="1"/>
      <c r="AT367" s="1"/>
      <c r="AU367" s="1"/>
      <c r="AV367" s="1"/>
      <c r="AW367" s="1"/>
    </row>
    <row r="368" spans="1:49" x14ac:dyDescent="0.2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  <c r="AA368" s="1"/>
      <c r="AB368" s="1"/>
      <c r="AC368" s="1"/>
      <c r="AD368" s="1"/>
      <c r="AE368" s="1"/>
      <c r="AF368" s="1"/>
      <c r="AG368" s="1"/>
      <c r="AH368" s="1"/>
      <c r="AI368" s="1"/>
      <c r="AJ368" s="1"/>
      <c r="AK368" s="1"/>
      <c r="AL368" s="1"/>
      <c r="AM368" s="1"/>
      <c r="AN368" s="1"/>
      <c r="AO368" s="1"/>
      <c r="AP368" s="1"/>
      <c r="AQ368" s="1"/>
      <c r="AR368" s="1"/>
      <c r="AS368" s="1"/>
      <c r="AT368" s="1"/>
      <c r="AU368" s="1"/>
      <c r="AV368" s="1"/>
      <c r="AW368" s="1"/>
    </row>
    <row r="369" spans="1:49" x14ac:dyDescent="0.2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  <c r="AA369" s="1"/>
      <c r="AB369" s="1"/>
      <c r="AC369" s="1"/>
      <c r="AD369" s="1"/>
      <c r="AE369" s="1"/>
      <c r="AF369" s="1"/>
      <c r="AG369" s="1"/>
      <c r="AH369" s="1"/>
      <c r="AI369" s="1"/>
      <c r="AJ369" s="1"/>
      <c r="AK369" s="1"/>
      <c r="AL369" s="1"/>
      <c r="AM369" s="1"/>
      <c r="AN369" s="1"/>
      <c r="AO369" s="1"/>
      <c r="AP369" s="1"/>
      <c r="AQ369" s="1"/>
      <c r="AR369" s="1"/>
      <c r="AS369" s="1"/>
      <c r="AT369" s="1"/>
      <c r="AU369" s="1"/>
      <c r="AV369" s="1"/>
      <c r="AW369" s="1"/>
    </row>
    <row r="370" spans="1:49" x14ac:dyDescent="0.2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  <c r="AA370" s="1"/>
      <c r="AB370" s="1"/>
      <c r="AC370" s="1"/>
      <c r="AD370" s="1"/>
      <c r="AE370" s="1"/>
      <c r="AF370" s="1"/>
      <c r="AG370" s="1"/>
      <c r="AH370" s="1"/>
      <c r="AI370" s="1"/>
      <c r="AJ370" s="1"/>
      <c r="AK370" s="1"/>
      <c r="AL370" s="1"/>
      <c r="AM370" s="1"/>
      <c r="AN370" s="1"/>
      <c r="AO370" s="1"/>
      <c r="AP370" s="1"/>
      <c r="AQ370" s="1"/>
      <c r="AR370" s="1"/>
      <c r="AS370" s="1"/>
      <c r="AT370" s="1"/>
      <c r="AU370" s="1"/>
      <c r="AV370" s="1"/>
      <c r="AW370" s="1"/>
    </row>
    <row r="371" spans="1:49" x14ac:dyDescent="0.2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  <c r="AA371" s="1"/>
      <c r="AB371" s="1"/>
      <c r="AC371" s="1"/>
      <c r="AD371" s="1"/>
      <c r="AE371" s="1"/>
      <c r="AF371" s="1"/>
      <c r="AG371" s="1"/>
      <c r="AH371" s="1"/>
      <c r="AI371" s="1"/>
      <c r="AJ371" s="1"/>
      <c r="AK371" s="1"/>
      <c r="AL371" s="1"/>
      <c r="AM371" s="1"/>
      <c r="AN371" s="1"/>
      <c r="AO371" s="1"/>
      <c r="AP371" s="1"/>
      <c r="AQ371" s="1"/>
      <c r="AR371" s="1"/>
      <c r="AS371" s="1"/>
      <c r="AT371" s="1"/>
      <c r="AU371" s="1"/>
      <c r="AV371" s="1"/>
      <c r="AW371" s="1"/>
    </row>
    <row r="372" spans="1:49" x14ac:dyDescent="0.2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  <c r="AA372" s="1"/>
      <c r="AB372" s="1"/>
      <c r="AC372" s="1"/>
      <c r="AD372" s="1"/>
      <c r="AE372" s="1"/>
      <c r="AF372" s="1"/>
      <c r="AG372" s="1"/>
      <c r="AH372" s="1"/>
      <c r="AI372" s="1"/>
      <c r="AJ372" s="1"/>
      <c r="AK372" s="1"/>
      <c r="AL372" s="1"/>
      <c r="AM372" s="1"/>
      <c r="AN372" s="1"/>
      <c r="AO372" s="1"/>
      <c r="AP372" s="1"/>
      <c r="AQ372" s="1"/>
      <c r="AR372" s="1"/>
      <c r="AS372" s="1"/>
      <c r="AT372" s="1"/>
      <c r="AU372" s="1"/>
      <c r="AV372" s="1"/>
      <c r="AW372" s="1"/>
    </row>
    <row r="373" spans="1:49" x14ac:dyDescent="0.2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  <c r="AA373" s="1"/>
      <c r="AB373" s="1"/>
      <c r="AC373" s="1"/>
      <c r="AD373" s="1"/>
      <c r="AE373" s="1"/>
      <c r="AF373" s="1"/>
      <c r="AG373" s="1"/>
      <c r="AH373" s="1"/>
      <c r="AI373" s="1"/>
      <c r="AJ373" s="1"/>
      <c r="AK373" s="1"/>
      <c r="AL373" s="1"/>
      <c r="AM373" s="1"/>
      <c r="AN373" s="1"/>
      <c r="AO373" s="1"/>
      <c r="AP373" s="1"/>
      <c r="AQ373" s="1"/>
      <c r="AR373" s="1"/>
      <c r="AS373" s="1"/>
      <c r="AT373" s="1"/>
      <c r="AU373" s="1"/>
      <c r="AV373" s="1"/>
      <c r="AW373" s="1"/>
    </row>
    <row r="374" spans="1:49" x14ac:dyDescent="0.2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  <c r="AA374" s="1"/>
      <c r="AB374" s="1"/>
      <c r="AC374" s="1"/>
      <c r="AD374" s="1"/>
      <c r="AE374" s="1"/>
      <c r="AF374" s="1"/>
      <c r="AG374" s="1"/>
      <c r="AH374" s="1"/>
      <c r="AI374" s="1"/>
      <c r="AJ374" s="1"/>
      <c r="AK374" s="1"/>
      <c r="AL374" s="1"/>
      <c r="AM374" s="1"/>
      <c r="AN374" s="1"/>
      <c r="AO374" s="1"/>
      <c r="AP374" s="1"/>
      <c r="AQ374" s="1"/>
      <c r="AR374" s="1"/>
      <c r="AS374" s="1"/>
      <c r="AT374" s="1"/>
      <c r="AU374" s="1"/>
      <c r="AV374" s="1"/>
      <c r="AW374" s="1"/>
    </row>
    <row r="375" spans="1:49" x14ac:dyDescent="0.2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  <c r="AA375" s="1"/>
      <c r="AB375" s="1"/>
      <c r="AC375" s="1"/>
      <c r="AD375" s="1"/>
      <c r="AE375" s="1"/>
      <c r="AF375" s="1"/>
      <c r="AG375" s="1"/>
      <c r="AH375" s="1"/>
      <c r="AI375" s="1"/>
      <c r="AJ375" s="1"/>
      <c r="AK375" s="1"/>
      <c r="AL375" s="1"/>
      <c r="AM375" s="1"/>
      <c r="AN375" s="1"/>
      <c r="AO375" s="1"/>
      <c r="AP375" s="1"/>
      <c r="AQ375" s="1"/>
      <c r="AR375" s="1"/>
      <c r="AS375" s="1"/>
      <c r="AT375" s="1"/>
      <c r="AU375" s="1"/>
      <c r="AV375" s="1"/>
      <c r="AW375" s="1"/>
    </row>
    <row r="376" spans="1:49" x14ac:dyDescent="0.2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  <c r="AA376" s="1"/>
      <c r="AB376" s="1"/>
      <c r="AC376" s="1"/>
      <c r="AD376" s="1"/>
      <c r="AE376" s="1"/>
      <c r="AF376" s="1"/>
      <c r="AG376" s="1"/>
      <c r="AH376" s="1"/>
      <c r="AI376" s="1"/>
      <c r="AJ376" s="1"/>
      <c r="AK376" s="1"/>
      <c r="AL376" s="1"/>
      <c r="AM376" s="1"/>
      <c r="AN376" s="1"/>
      <c r="AO376" s="1"/>
      <c r="AP376" s="1"/>
      <c r="AQ376" s="1"/>
      <c r="AR376" s="1"/>
      <c r="AS376" s="1"/>
      <c r="AT376" s="1"/>
      <c r="AU376" s="1"/>
      <c r="AV376" s="1"/>
      <c r="AW376" s="1"/>
    </row>
    <row r="377" spans="1:49" x14ac:dyDescent="0.2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  <c r="AA377" s="1"/>
      <c r="AB377" s="1"/>
      <c r="AC377" s="1"/>
      <c r="AD377" s="1"/>
      <c r="AE377" s="1"/>
      <c r="AF377" s="1"/>
      <c r="AG377" s="1"/>
      <c r="AH377" s="1"/>
      <c r="AI377" s="1"/>
      <c r="AJ377" s="1"/>
      <c r="AK377" s="1"/>
      <c r="AL377" s="1"/>
      <c r="AM377" s="1"/>
      <c r="AN377" s="1"/>
      <c r="AO377" s="1"/>
      <c r="AP377" s="1"/>
      <c r="AQ377" s="1"/>
      <c r="AR377" s="1"/>
      <c r="AS377" s="1"/>
      <c r="AT377" s="1"/>
      <c r="AU377" s="1"/>
      <c r="AV377" s="1"/>
      <c r="AW377" s="1"/>
    </row>
    <row r="378" spans="1:49" x14ac:dyDescent="0.2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  <c r="AA378" s="1"/>
      <c r="AB378" s="1"/>
      <c r="AC378" s="1"/>
      <c r="AD378" s="1"/>
      <c r="AE378" s="1"/>
      <c r="AF378" s="1"/>
      <c r="AG378" s="1"/>
      <c r="AH378" s="1"/>
      <c r="AI378" s="1"/>
      <c r="AJ378" s="1"/>
      <c r="AK378" s="1"/>
      <c r="AL378" s="1"/>
      <c r="AM378" s="1"/>
      <c r="AN378" s="1"/>
      <c r="AO378" s="1"/>
      <c r="AP378" s="1"/>
      <c r="AQ378" s="1"/>
      <c r="AR378" s="1"/>
      <c r="AS378" s="1"/>
      <c r="AT378" s="1"/>
      <c r="AU378" s="1"/>
      <c r="AV378" s="1"/>
      <c r="AW378" s="1"/>
    </row>
    <row r="379" spans="1:49" x14ac:dyDescent="0.2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  <c r="AA379" s="1"/>
      <c r="AB379" s="1"/>
      <c r="AC379" s="1"/>
      <c r="AD379" s="1"/>
      <c r="AE379" s="1"/>
      <c r="AF379" s="1"/>
      <c r="AG379" s="1"/>
      <c r="AH379" s="1"/>
      <c r="AI379" s="1"/>
      <c r="AJ379" s="1"/>
      <c r="AK379" s="1"/>
      <c r="AL379" s="1"/>
      <c r="AM379" s="1"/>
      <c r="AN379" s="1"/>
      <c r="AO379" s="1"/>
      <c r="AP379" s="1"/>
      <c r="AQ379" s="1"/>
      <c r="AR379" s="1"/>
      <c r="AS379" s="1"/>
      <c r="AT379" s="1"/>
      <c r="AU379" s="1"/>
      <c r="AV379" s="1"/>
      <c r="AW379" s="1"/>
    </row>
    <row r="380" spans="1:49" x14ac:dyDescent="0.2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  <c r="AA380" s="1"/>
      <c r="AB380" s="1"/>
      <c r="AC380" s="1"/>
      <c r="AD380" s="1"/>
      <c r="AE380" s="1"/>
      <c r="AF380" s="1"/>
      <c r="AG380" s="1"/>
      <c r="AH380" s="1"/>
      <c r="AI380" s="1"/>
      <c r="AJ380" s="1"/>
      <c r="AK380" s="1"/>
      <c r="AL380" s="1"/>
      <c r="AM380" s="1"/>
      <c r="AN380" s="1"/>
      <c r="AO380" s="1"/>
      <c r="AP380" s="1"/>
      <c r="AQ380" s="1"/>
      <c r="AR380" s="1"/>
      <c r="AS380" s="1"/>
      <c r="AT380" s="1"/>
      <c r="AU380" s="1"/>
      <c r="AV380" s="1"/>
      <c r="AW380" s="1"/>
    </row>
    <row r="381" spans="1:49" x14ac:dyDescent="0.2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  <c r="AA381" s="1"/>
      <c r="AB381" s="1"/>
      <c r="AC381" s="1"/>
      <c r="AD381" s="1"/>
      <c r="AE381" s="1"/>
      <c r="AF381" s="1"/>
      <c r="AG381" s="1"/>
      <c r="AH381" s="1"/>
      <c r="AI381" s="1"/>
      <c r="AJ381" s="1"/>
      <c r="AK381" s="1"/>
      <c r="AL381" s="1"/>
      <c r="AM381" s="1"/>
      <c r="AN381" s="1"/>
      <c r="AO381" s="1"/>
      <c r="AP381" s="1"/>
      <c r="AQ381" s="1"/>
      <c r="AR381" s="1"/>
      <c r="AS381" s="1"/>
      <c r="AT381" s="1"/>
      <c r="AU381" s="1"/>
      <c r="AV381" s="1"/>
      <c r="AW381" s="1"/>
    </row>
    <row r="382" spans="1:49" x14ac:dyDescent="0.2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  <c r="AA382" s="1"/>
      <c r="AB382" s="1"/>
      <c r="AC382" s="1"/>
      <c r="AD382" s="1"/>
      <c r="AE382" s="1"/>
      <c r="AF382" s="1"/>
      <c r="AG382" s="1"/>
      <c r="AH382" s="1"/>
      <c r="AI382" s="1"/>
      <c r="AJ382" s="1"/>
      <c r="AK382" s="1"/>
      <c r="AL382" s="1"/>
      <c r="AM382" s="1"/>
      <c r="AN382" s="1"/>
      <c r="AO382" s="1"/>
      <c r="AP382" s="1"/>
      <c r="AQ382" s="1"/>
      <c r="AR382" s="1"/>
      <c r="AS382" s="1"/>
      <c r="AT382" s="1"/>
      <c r="AU382" s="1"/>
      <c r="AV382" s="1"/>
      <c r="AW382" s="1"/>
    </row>
    <row r="383" spans="1:49" x14ac:dyDescent="0.2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  <c r="AA383" s="1"/>
      <c r="AB383" s="1"/>
      <c r="AC383" s="1"/>
      <c r="AD383" s="1"/>
      <c r="AE383" s="1"/>
      <c r="AF383" s="1"/>
      <c r="AG383" s="1"/>
      <c r="AH383" s="1"/>
      <c r="AI383" s="1"/>
      <c r="AJ383" s="1"/>
      <c r="AK383" s="1"/>
      <c r="AL383" s="1"/>
      <c r="AM383" s="1"/>
      <c r="AN383" s="1"/>
      <c r="AO383" s="1"/>
      <c r="AP383" s="1"/>
      <c r="AQ383" s="1"/>
      <c r="AR383" s="1"/>
      <c r="AS383" s="1"/>
      <c r="AT383" s="1"/>
      <c r="AU383" s="1"/>
      <c r="AV383" s="1"/>
      <c r="AW383" s="1"/>
    </row>
    <row r="384" spans="1:49" x14ac:dyDescent="0.2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  <c r="AA384" s="1"/>
      <c r="AB384" s="1"/>
      <c r="AC384" s="1"/>
      <c r="AD384" s="1"/>
      <c r="AE384" s="1"/>
      <c r="AF384" s="1"/>
      <c r="AG384" s="1"/>
      <c r="AH384" s="1"/>
      <c r="AI384" s="1"/>
      <c r="AJ384" s="1"/>
      <c r="AK384" s="1"/>
      <c r="AL384" s="1"/>
      <c r="AM384" s="1"/>
      <c r="AN384" s="1"/>
      <c r="AO384" s="1"/>
      <c r="AP384" s="1"/>
      <c r="AQ384" s="1"/>
      <c r="AR384" s="1"/>
      <c r="AS384" s="1"/>
      <c r="AT384" s="1"/>
      <c r="AU384" s="1"/>
      <c r="AV384" s="1"/>
      <c r="AW384" s="1"/>
    </row>
    <row r="385" spans="1:49" x14ac:dyDescent="0.2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  <c r="AA385" s="1"/>
      <c r="AB385" s="1"/>
      <c r="AC385" s="1"/>
      <c r="AD385" s="1"/>
      <c r="AE385" s="1"/>
      <c r="AF385" s="1"/>
      <c r="AG385" s="1"/>
      <c r="AH385" s="1"/>
      <c r="AI385" s="1"/>
      <c r="AJ385" s="1"/>
      <c r="AK385" s="1"/>
      <c r="AL385" s="1"/>
      <c r="AM385" s="1"/>
      <c r="AN385" s="1"/>
      <c r="AO385" s="1"/>
      <c r="AP385" s="1"/>
      <c r="AQ385" s="1"/>
      <c r="AR385" s="1"/>
      <c r="AS385" s="1"/>
      <c r="AT385" s="1"/>
      <c r="AU385" s="1"/>
      <c r="AV385" s="1"/>
      <c r="AW385" s="1"/>
    </row>
    <row r="386" spans="1:49" x14ac:dyDescent="0.2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  <c r="AA386" s="1"/>
      <c r="AB386" s="1"/>
      <c r="AC386" s="1"/>
      <c r="AD386" s="1"/>
      <c r="AE386" s="1"/>
      <c r="AF386" s="1"/>
      <c r="AG386" s="1"/>
      <c r="AH386" s="1"/>
      <c r="AI386" s="1"/>
      <c r="AJ386" s="1"/>
      <c r="AK386" s="1"/>
      <c r="AL386" s="1"/>
      <c r="AM386" s="1"/>
      <c r="AN386" s="1"/>
      <c r="AO386" s="1"/>
      <c r="AP386" s="1"/>
      <c r="AQ386" s="1"/>
      <c r="AR386" s="1"/>
      <c r="AS386" s="1"/>
      <c r="AT386" s="1"/>
      <c r="AU386" s="1"/>
      <c r="AV386" s="1"/>
      <c r="AW386" s="1"/>
    </row>
    <row r="387" spans="1:49" x14ac:dyDescent="0.2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  <c r="AA387" s="1"/>
      <c r="AB387" s="1"/>
      <c r="AC387" s="1"/>
      <c r="AD387" s="1"/>
      <c r="AE387" s="1"/>
      <c r="AF387" s="1"/>
      <c r="AG387" s="1"/>
      <c r="AH387" s="1"/>
      <c r="AI387" s="1"/>
      <c r="AJ387" s="1"/>
      <c r="AK387" s="1"/>
      <c r="AL387" s="1"/>
      <c r="AM387" s="1"/>
      <c r="AN387" s="1"/>
      <c r="AO387" s="1"/>
      <c r="AP387" s="1"/>
      <c r="AQ387" s="1"/>
      <c r="AR387" s="1"/>
      <c r="AS387" s="1"/>
      <c r="AT387" s="1"/>
      <c r="AU387" s="1"/>
      <c r="AV387" s="1"/>
      <c r="AW387" s="1"/>
    </row>
    <row r="388" spans="1:49" x14ac:dyDescent="0.2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  <c r="AA388" s="1"/>
      <c r="AB388" s="1"/>
      <c r="AC388" s="1"/>
      <c r="AD388" s="1"/>
      <c r="AE388" s="1"/>
      <c r="AF388" s="1"/>
      <c r="AG388" s="1"/>
      <c r="AH388" s="1"/>
      <c r="AI388" s="1"/>
      <c r="AJ388" s="1"/>
      <c r="AK388" s="1"/>
      <c r="AL388" s="1"/>
      <c r="AM388" s="1"/>
      <c r="AN388" s="1"/>
      <c r="AO388" s="1"/>
      <c r="AP388" s="1"/>
      <c r="AQ388" s="1"/>
      <c r="AR388" s="1"/>
      <c r="AS388" s="1"/>
      <c r="AT388" s="1"/>
      <c r="AU388" s="1"/>
      <c r="AV388" s="1"/>
      <c r="AW388" s="1"/>
    </row>
    <row r="389" spans="1:49" x14ac:dyDescent="0.2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  <c r="AA389" s="1"/>
      <c r="AB389" s="1"/>
      <c r="AC389" s="1"/>
      <c r="AD389" s="1"/>
      <c r="AE389" s="1"/>
      <c r="AF389" s="1"/>
      <c r="AG389" s="1"/>
      <c r="AH389" s="1"/>
      <c r="AI389" s="1"/>
      <c r="AJ389" s="1"/>
      <c r="AK389" s="1"/>
      <c r="AL389" s="1"/>
      <c r="AM389" s="1"/>
      <c r="AN389" s="1"/>
      <c r="AO389" s="1"/>
      <c r="AP389" s="1"/>
      <c r="AQ389" s="1"/>
      <c r="AR389" s="1"/>
      <c r="AS389" s="1"/>
      <c r="AT389" s="1"/>
      <c r="AU389" s="1"/>
      <c r="AV389" s="1"/>
      <c r="AW389" s="1"/>
    </row>
    <row r="390" spans="1:49" x14ac:dyDescent="0.2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  <c r="AA390" s="1"/>
      <c r="AB390" s="1"/>
      <c r="AC390" s="1"/>
      <c r="AD390" s="1"/>
      <c r="AE390" s="1"/>
      <c r="AF390" s="1"/>
      <c r="AG390" s="1"/>
      <c r="AH390" s="1"/>
      <c r="AI390" s="1"/>
      <c r="AJ390" s="1"/>
      <c r="AK390" s="1"/>
      <c r="AL390" s="1"/>
      <c r="AM390" s="1"/>
      <c r="AN390" s="1"/>
      <c r="AO390" s="1"/>
      <c r="AP390" s="1"/>
      <c r="AQ390" s="1"/>
      <c r="AR390" s="1"/>
      <c r="AS390" s="1"/>
      <c r="AT390" s="1"/>
      <c r="AU390" s="1"/>
      <c r="AV390" s="1"/>
      <c r="AW390" s="1"/>
    </row>
    <row r="391" spans="1:49" x14ac:dyDescent="0.2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  <c r="AA391" s="1"/>
      <c r="AB391" s="1"/>
      <c r="AC391" s="1"/>
      <c r="AD391" s="1"/>
      <c r="AE391" s="1"/>
      <c r="AF391" s="1"/>
      <c r="AG391" s="1"/>
      <c r="AH391" s="1"/>
      <c r="AI391" s="1"/>
      <c r="AJ391" s="1"/>
      <c r="AK391" s="1"/>
      <c r="AL391" s="1"/>
      <c r="AM391" s="1"/>
      <c r="AN391" s="1"/>
      <c r="AO391" s="1"/>
      <c r="AP391" s="1"/>
      <c r="AQ391" s="1"/>
      <c r="AR391" s="1"/>
      <c r="AS391" s="1"/>
      <c r="AT391" s="1"/>
      <c r="AU391" s="1"/>
      <c r="AV391" s="1"/>
      <c r="AW391" s="1"/>
    </row>
    <row r="392" spans="1:49" x14ac:dyDescent="0.2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  <c r="AA392" s="1"/>
      <c r="AB392" s="1"/>
      <c r="AC392" s="1"/>
      <c r="AD392" s="1"/>
      <c r="AE392" s="1"/>
      <c r="AF392" s="1"/>
      <c r="AG392" s="1"/>
      <c r="AH392" s="1"/>
      <c r="AI392" s="1"/>
      <c r="AJ392" s="1"/>
      <c r="AK392" s="1"/>
      <c r="AL392" s="1"/>
      <c r="AM392" s="1"/>
      <c r="AN392" s="1"/>
      <c r="AO392" s="1"/>
      <c r="AP392" s="1"/>
      <c r="AQ392" s="1"/>
      <c r="AR392" s="1"/>
      <c r="AS392" s="1"/>
      <c r="AT392" s="1"/>
      <c r="AU392" s="1"/>
      <c r="AV392" s="1"/>
      <c r="AW392" s="1"/>
    </row>
    <row r="393" spans="1:49" x14ac:dyDescent="0.2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  <c r="AA393" s="1"/>
      <c r="AB393" s="1"/>
      <c r="AC393" s="1"/>
      <c r="AD393" s="1"/>
      <c r="AE393" s="1"/>
      <c r="AF393" s="1"/>
      <c r="AG393" s="1"/>
      <c r="AH393" s="1"/>
      <c r="AI393" s="1"/>
      <c r="AJ393" s="1"/>
      <c r="AK393" s="1"/>
      <c r="AL393" s="1"/>
      <c r="AM393" s="1"/>
      <c r="AN393" s="1"/>
      <c r="AO393" s="1"/>
      <c r="AP393" s="1"/>
      <c r="AQ393" s="1"/>
      <c r="AR393" s="1"/>
      <c r="AS393" s="1"/>
      <c r="AT393" s="1"/>
      <c r="AU393" s="1"/>
      <c r="AV393" s="1"/>
      <c r="AW393" s="1"/>
    </row>
    <row r="394" spans="1:49" x14ac:dyDescent="0.2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  <c r="AA394" s="1"/>
      <c r="AB394" s="1"/>
      <c r="AC394" s="1"/>
      <c r="AD394" s="1"/>
      <c r="AE394" s="1"/>
      <c r="AF394" s="1"/>
      <c r="AG394" s="1"/>
      <c r="AH394" s="1"/>
      <c r="AI394" s="1"/>
      <c r="AJ394" s="1"/>
      <c r="AK394" s="1"/>
      <c r="AL394" s="1"/>
      <c r="AM394" s="1"/>
      <c r="AN394" s="1"/>
      <c r="AO394" s="1"/>
      <c r="AP394" s="1"/>
      <c r="AQ394" s="1"/>
      <c r="AR394" s="1"/>
      <c r="AS394" s="1"/>
      <c r="AT394" s="1"/>
      <c r="AU394" s="1"/>
      <c r="AV394" s="1"/>
      <c r="AW394" s="1"/>
    </row>
    <row r="395" spans="1:49" x14ac:dyDescent="0.2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  <c r="AA395" s="1"/>
      <c r="AB395" s="1"/>
      <c r="AC395" s="1"/>
      <c r="AD395" s="1"/>
      <c r="AE395" s="1"/>
      <c r="AF395" s="1"/>
      <c r="AG395" s="1"/>
      <c r="AH395" s="1"/>
      <c r="AI395" s="1"/>
      <c r="AJ395" s="1"/>
      <c r="AK395" s="1"/>
      <c r="AL395" s="1"/>
      <c r="AM395" s="1"/>
      <c r="AN395" s="1"/>
      <c r="AO395" s="1"/>
      <c r="AP395" s="1"/>
      <c r="AQ395" s="1"/>
      <c r="AR395" s="1"/>
      <c r="AS395" s="1"/>
      <c r="AT395" s="1"/>
      <c r="AU395" s="1"/>
      <c r="AV395" s="1"/>
      <c r="AW395" s="1"/>
    </row>
    <row r="396" spans="1:49" x14ac:dyDescent="0.2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  <c r="AA396" s="1"/>
      <c r="AB396" s="1"/>
      <c r="AC396" s="1"/>
      <c r="AD396" s="1"/>
      <c r="AE396" s="1"/>
      <c r="AF396" s="1"/>
      <c r="AG396" s="1"/>
      <c r="AH396" s="1"/>
      <c r="AI396" s="1"/>
      <c r="AJ396" s="1"/>
      <c r="AK396" s="1"/>
      <c r="AL396" s="1"/>
      <c r="AM396" s="1"/>
      <c r="AN396" s="1"/>
      <c r="AO396" s="1"/>
      <c r="AP396" s="1"/>
      <c r="AQ396" s="1"/>
      <c r="AR396" s="1"/>
      <c r="AS396" s="1"/>
      <c r="AT396" s="1"/>
      <c r="AU396" s="1"/>
      <c r="AV396" s="1"/>
      <c r="AW396" s="1"/>
    </row>
    <row r="397" spans="1:49" x14ac:dyDescent="0.2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  <c r="AA397" s="1"/>
      <c r="AB397" s="1"/>
      <c r="AC397" s="1"/>
      <c r="AD397" s="1"/>
      <c r="AE397" s="1"/>
      <c r="AF397" s="1"/>
      <c r="AG397" s="1"/>
      <c r="AH397" s="1"/>
      <c r="AI397" s="1"/>
      <c r="AJ397" s="1"/>
      <c r="AK397" s="1"/>
      <c r="AL397" s="1"/>
      <c r="AM397" s="1"/>
      <c r="AN397" s="1"/>
      <c r="AO397" s="1"/>
      <c r="AP397" s="1"/>
      <c r="AQ397" s="1"/>
      <c r="AR397" s="1"/>
      <c r="AS397" s="1"/>
      <c r="AT397" s="1"/>
      <c r="AU397" s="1"/>
      <c r="AV397" s="1"/>
      <c r="AW397" s="1"/>
    </row>
    <row r="398" spans="1:49" x14ac:dyDescent="0.2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  <c r="AA398" s="1"/>
      <c r="AB398" s="1"/>
      <c r="AC398" s="1"/>
      <c r="AD398" s="1"/>
      <c r="AE398" s="1"/>
      <c r="AF398" s="1"/>
      <c r="AG398" s="1"/>
      <c r="AH398" s="1"/>
      <c r="AI398" s="1"/>
      <c r="AJ398" s="1"/>
      <c r="AK398" s="1"/>
      <c r="AL398" s="1"/>
      <c r="AM398" s="1"/>
      <c r="AN398" s="1"/>
      <c r="AO398" s="1"/>
      <c r="AP398" s="1"/>
      <c r="AQ398" s="1"/>
      <c r="AR398" s="1"/>
      <c r="AS398" s="1"/>
      <c r="AT398" s="1"/>
      <c r="AU398" s="1"/>
      <c r="AV398" s="1"/>
      <c r="AW398" s="1"/>
    </row>
    <row r="399" spans="1:49" x14ac:dyDescent="0.2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  <c r="AA399" s="1"/>
      <c r="AB399" s="1"/>
      <c r="AC399" s="1"/>
      <c r="AD399" s="1"/>
      <c r="AE399" s="1"/>
      <c r="AF399" s="1"/>
      <c r="AG399" s="1"/>
      <c r="AH399" s="1"/>
      <c r="AI399" s="1"/>
      <c r="AJ399" s="1"/>
      <c r="AK399" s="1"/>
      <c r="AL399" s="1"/>
      <c r="AM399" s="1"/>
      <c r="AN399" s="1"/>
      <c r="AO399" s="1"/>
      <c r="AP399" s="1"/>
      <c r="AQ399" s="1"/>
      <c r="AR399" s="1"/>
      <c r="AS399" s="1"/>
      <c r="AT399" s="1"/>
      <c r="AU399" s="1"/>
      <c r="AV399" s="1"/>
      <c r="AW399" s="1"/>
    </row>
    <row r="400" spans="1:49" x14ac:dyDescent="0.2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  <c r="AA400" s="1"/>
      <c r="AB400" s="1"/>
      <c r="AC400" s="1"/>
      <c r="AD400" s="1"/>
      <c r="AE400" s="1"/>
      <c r="AF400" s="1"/>
      <c r="AG400" s="1"/>
      <c r="AH400" s="1"/>
      <c r="AI400" s="1"/>
      <c r="AJ400" s="1"/>
      <c r="AK400" s="1"/>
      <c r="AL400" s="1"/>
      <c r="AM400" s="1"/>
      <c r="AN400" s="1"/>
      <c r="AO400" s="1"/>
      <c r="AP400" s="1"/>
      <c r="AQ400" s="1"/>
      <c r="AR400" s="1"/>
      <c r="AS400" s="1"/>
      <c r="AT400" s="1"/>
      <c r="AU400" s="1"/>
      <c r="AV400" s="1"/>
      <c r="AW400" s="1"/>
    </row>
    <row r="401" spans="1:49" x14ac:dyDescent="0.2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  <c r="AA401" s="1"/>
      <c r="AB401" s="1"/>
      <c r="AC401" s="1"/>
      <c r="AD401" s="1"/>
      <c r="AE401" s="1"/>
      <c r="AF401" s="1"/>
      <c r="AG401" s="1"/>
      <c r="AH401" s="1"/>
      <c r="AI401" s="1"/>
      <c r="AJ401" s="1"/>
      <c r="AK401" s="1"/>
      <c r="AL401" s="1"/>
      <c r="AM401" s="1"/>
      <c r="AN401" s="1"/>
      <c r="AO401" s="1"/>
      <c r="AP401" s="1"/>
      <c r="AQ401" s="1"/>
      <c r="AR401" s="1"/>
      <c r="AS401" s="1"/>
      <c r="AT401" s="1"/>
      <c r="AU401" s="1"/>
      <c r="AV401" s="1"/>
      <c r="AW401" s="1"/>
    </row>
    <row r="402" spans="1:49" x14ac:dyDescent="0.2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  <c r="AA402" s="1"/>
      <c r="AB402" s="1"/>
      <c r="AC402" s="1"/>
      <c r="AD402" s="1"/>
      <c r="AE402" s="1"/>
      <c r="AF402" s="1"/>
      <c r="AG402" s="1"/>
      <c r="AH402" s="1"/>
      <c r="AI402" s="1"/>
      <c r="AJ402" s="1"/>
      <c r="AK402" s="1"/>
      <c r="AL402" s="1"/>
      <c r="AM402" s="1"/>
      <c r="AN402" s="1"/>
      <c r="AO402" s="1"/>
      <c r="AP402" s="1"/>
      <c r="AQ402" s="1"/>
      <c r="AR402" s="1"/>
      <c r="AS402" s="1"/>
      <c r="AT402" s="1"/>
      <c r="AU402" s="1"/>
      <c r="AV402" s="1"/>
      <c r="AW402" s="1"/>
    </row>
    <row r="403" spans="1:49" x14ac:dyDescent="0.2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  <c r="AA403" s="1"/>
      <c r="AB403" s="1"/>
      <c r="AC403" s="1"/>
      <c r="AD403" s="1"/>
      <c r="AE403" s="1"/>
      <c r="AF403" s="1"/>
      <c r="AG403" s="1"/>
      <c r="AH403" s="1"/>
      <c r="AI403" s="1"/>
      <c r="AJ403" s="1"/>
      <c r="AK403" s="1"/>
      <c r="AL403" s="1"/>
      <c r="AM403" s="1"/>
      <c r="AN403" s="1"/>
      <c r="AO403" s="1"/>
      <c r="AP403" s="1"/>
      <c r="AQ403" s="1"/>
      <c r="AR403" s="1"/>
      <c r="AS403" s="1"/>
      <c r="AT403" s="1"/>
      <c r="AU403" s="1"/>
      <c r="AV403" s="1"/>
      <c r="AW403" s="1"/>
    </row>
    <row r="404" spans="1:49" x14ac:dyDescent="0.2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  <c r="AA404" s="1"/>
      <c r="AB404" s="1"/>
      <c r="AC404" s="1"/>
      <c r="AD404" s="1"/>
      <c r="AE404" s="1"/>
      <c r="AF404" s="1"/>
      <c r="AG404" s="1"/>
      <c r="AH404" s="1"/>
      <c r="AI404" s="1"/>
      <c r="AJ404" s="1"/>
      <c r="AK404" s="1"/>
      <c r="AL404" s="1"/>
      <c r="AM404" s="1"/>
      <c r="AN404" s="1"/>
      <c r="AO404" s="1"/>
      <c r="AP404" s="1"/>
      <c r="AQ404" s="1"/>
      <c r="AR404" s="1"/>
      <c r="AS404" s="1"/>
      <c r="AT404" s="1"/>
      <c r="AU404" s="1"/>
      <c r="AV404" s="1"/>
      <c r="AW404" s="1"/>
    </row>
    <row r="405" spans="1:49" x14ac:dyDescent="0.2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  <c r="AA405" s="1"/>
      <c r="AB405" s="1"/>
      <c r="AC405" s="1"/>
      <c r="AD405" s="1"/>
      <c r="AE405" s="1"/>
      <c r="AF405" s="1"/>
      <c r="AG405" s="1"/>
      <c r="AH405" s="1"/>
      <c r="AI405" s="1"/>
      <c r="AJ405" s="1"/>
      <c r="AK405" s="1"/>
      <c r="AL405" s="1"/>
      <c r="AM405" s="1"/>
      <c r="AN405" s="1"/>
      <c r="AO405" s="1"/>
      <c r="AP405" s="1"/>
      <c r="AQ405" s="1"/>
      <c r="AR405" s="1"/>
      <c r="AS405" s="1"/>
      <c r="AT405" s="1"/>
      <c r="AU405" s="1"/>
      <c r="AV405" s="1"/>
      <c r="AW405" s="1"/>
    </row>
    <row r="406" spans="1:49" x14ac:dyDescent="0.2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  <c r="AA406" s="1"/>
      <c r="AB406" s="1"/>
      <c r="AC406" s="1"/>
      <c r="AD406" s="1"/>
      <c r="AE406" s="1"/>
      <c r="AF406" s="1"/>
      <c r="AG406" s="1"/>
      <c r="AH406" s="1"/>
      <c r="AI406" s="1"/>
      <c r="AJ406" s="1"/>
      <c r="AK406" s="1"/>
      <c r="AL406" s="1"/>
      <c r="AM406" s="1"/>
      <c r="AN406" s="1"/>
      <c r="AO406" s="1"/>
      <c r="AP406" s="1"/>
      <c r="AQ406" s="1"/>
      <c r="AR406" s="1"/>
      <c r="AS406" s="1"/>
      <c r="AT406" s="1"/>
      <c r="AU406" s="1"/>
      <c r="AV406" s="1"/>
      <c r="AW406" s="1"/>
    </row>
    <row r="407" spans="1:49" x14ac:dyDescent="0.2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  <c r="AA407" s="1"/>
      <c r="AB407" s="1"/>
      <c r="AC407" s="1"/>
      <c r="AD407" s="1"/>
      <c r="AE407" s="1"/>
      <c r="AF407" s="1"/>
      <c r="AG407" s="1"/>
      <c r="AH407" s="1"/>
      <c r="AI407" s="1"/>
      <c r="AJ407" s="1"/>
      <c r="AK407" s="1"/>
      <c r="AL407" s="1"/>
      <c r="AM407" s="1"/>
      <c r="AN407" s="1"/>
      <c r="AO407" s="1"/>
      <c r="AP407" s="1"/>
      <c r="AQ407" s="1"/>
      <c r="AR407" s="1"/>
      <c r="AS407" s="1"/>
      <c r="AT407" s="1"/>
      <c r="AU407" s="1"/>
      <c r="AV407" s="1"/>
      <c r="AW407" s="1"/>
    </row>
    <row r="408" spans="1:49" x14ac:dyDescent="0.2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  <c r="AA408" s="1"/>
      <c r="AB408" s="1"/>
      <c r="AC408" s="1"/>
      <c r="AD408" s="1"/>
      <c r="AE408" s="1"/>
      <c r="AF408" s="1"/>
      <c r="AG408" s="1"/>
      <c r="AH408" s="1"/>
      <c r="AI408" s="1"/>
      <c r="AJ408" s="1"/>
      <c r="AK408" s="1"/>
      <c r="AL408" s="1"/>
      <c r="AM408" s="1"/>
      <c r="AN408" s="1"/>
      <c r="AO408" s="1"/>
      <c r="AP408" s="1"/>
      <c r="AQ408" s="1"/>
      <c r="AR408" s="1"/>
      <c r="AS408" s="1"/>
      <c r="AT408" s="1"/>
      <c r="AU408" s="1"/>
      <c r="AV408" s="1"/>
      <c r="AW408" s="1"/>
    </row>
    <row r="409" spans="1:49" x14ac:dyDescent="0.2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  <c r="AA409" s="1"/>
      <c r="AB409" s="1"/>
      <c r="AC409" s="1"/>
      <c r="AD409" s="1"/>
      <c r="AE409" s="1"/>
      <c r="AF409" s="1"/>
      <c r="AG409" s="1"/>
      <c r="AH409" s="1"/>
      <c r="AI409" s="1"/>
      <c r="AJ409" s="1"/>
      <c r="AK409" s="1"/>
      <c r="AL409" s="1"/>
      <c r="AM409" s="1"/>
      <c r="AN409" s="1"/>
      <c r="AO409" s="1"/>
      <c r="AP409" s="1"/>
      <c r="AQ409" s="1"/>
      <c r="AR409" s="1"/>
      <c r="AS409" s="1"/>
      <c r="AT409" s="1"/>
      <c r="AU409" s="1"/>
      <c r="AV409" s="1"/>
      <c r="AW409" s="1"/>
    </row>
    <row r="410" spans="1:49" x14ac:dyDescent="0.2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  <c r="AA410" s="1"/>
      <c r="AB410" s="1"/>
      <c r="AC410" s="1"/>
      <c r="AD410" s="1"/>
      <c r="AE410" s="1"/>
      <c r="AF410" s="1"/>
      <c r="AG410" s="1"/>
      <c r="AH410" s="1"/>
      <c r="AI410" s="1"/>
      <c r="AJ410" s="1"/>
      <c r="AK410" s="1"/>
      <c r="AL410" s="1"/>
      <c r="AM410" s="1"/>
      <c r="AN410" s="1"/>
      <c r="AO410" s="1"/>
      <c r="AP410" s="1"/>
      <c r="AQ410" s="1"/>
      <c r="AR410" s="1"/>
      <c r="AS410" s="1"/>
      <c r="AT410" s="1"/>
      <c r="AU410" s="1"/>
      <c r="AV410" s="1"/>
      <c r="AW410" s="1"/>
    </row>
    <row r="411" spans="1:49" x14ac:dyDescent="0.2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  <c r="AA411" s="1"/>
      <c r="AB411" s="1"/>
      <c r="AC411" s="1"/>
      <c r="AD411" s="1"/>
      <c r="AE411" s="1"/>
      <c r="AF411" s="1"/>
      <c r="AG411" s="1"/>
      <c r="AH411" s="1"/>
      <c r="AI411" s="1"/>
      <c r="AJ411" s="1"/>
      <c r="AK411" s="1"/>
      <c r="AL411" s="1"/>
      <c r="AM411" s="1"/>
      <c r="AN411" s="1"/>
      <c r="AO411" s="1"/>
      <c r="AP411" s="1"/>
      <c r="AQ411" s="1"/>
      <c r="AR411" s="1"/>
      <c r="AS411" s="1"/>
      <c r="AT411" s="1"/>
      <c r="AU411" s="1"/>
      <c r="AV411" s="1"/>
      <c r="AW411" s="1"/>
    </row>
    <row r="412" spans="1:49" x14ac:dyDescent="0.2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  <c r="AA412" s="1"/>
      <c r="AB412" s="1"/>
      <c r="AC412" s="1"/>
      <c r="AD412" s="1"/>
      <c r="AE412" s="1"/>
      <c r="AF412" s="1"/>
      <c r="AG412" s="1"/>
      <c r="AH412" s="1"/>
      <c r="AI412" s="1"/>
      <c r="AJ412" s="1"/>
      <c r="AK412" s="1"/>
      <c r="AL412" s="1"/>
      <c r="AM412" s="1"/>
      <c r="AN412" s="1"/>
      <c r="AO412" s="1"/>
      <c r="AP412" s="1"/>
      <c r="AQ412" s="1"/>
      <c r="AR412" s="1"/>
      <c r="AS412" s="1"/>
      <c r="AT412" s="1"/>
      <c r="AU412" s="1"/>
      <c r="AV412" s="1"/>
      <c r="AW412" s="1"/>
    </row>
    <row r="413" spans="1:49" x14ac:dyDescent="0.2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  <c r="AA413" s="1"/>
      <c r="AB413" s="1"/>
      <c r="AC413" s="1"/>
      <c r="AD413" s="1"/>
      <c r="AE413" s="1"/>
      <c r="AF413" s="1"/>
      <c r="AG413" s="1"/>
      <c r="AH413" s="1"/>
      <c r="AI413" s="1"/>
      <c r="AJ413" s="1"/>
      <c r="AK413" s="1"/>
      <c r="AL413" s="1"/>
      <c r="AM413" s="1"/>
      <c r="AN413" s="1"/>
      <c r="AO413" s="1"/>
      <c r="AP413" s="1"/>
      <c r="AQ413" s="1"/>
      <c r="AR413" s="1"/>
      <c r="AS413" s="1"/>
      <c r="AT413" s="1"/>
      <c r="AU413" s="1"/>
      <c r="AV413" s="1"/>
      <c r="AW413" s="1"/>
    </row>
    <row r="414" spans="1:49" x14ac:dyDescent="0.2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  <c r="AA414" s="1"/>
      <c r="AB414" s="1"/>
      <c r="AC414" s="1"/>
      <c r="AD414" s="1"/>
      <c r="AE414" s="1"/>
      <c r="AF414" s="1"/>
      <c r="AG414" s="1"/>
      <c r="AH414" s="1"/>
      <c r="AI414" s="1"/>
      <c r="AJ414" s="1"/>
      <c r="AK414" s="1"/>
      <c r="AL414" s="1"/>
      <c r="AM414" s="1"/>
      <c r="AN414" s="1"/>
      <c r="AO414" s="1"/>
      <c r="AP414" s="1"/>
      <c r="AQ414" s="1"/>
      <c r="AR414" s="1"/>
      <c r="AS414" s="1"/>
      <c r="AT414" s="1"/>
      <c r="AU414" s="1"/>
      <c r="AV414" s="1"/>
      <c r="AW414" s="1"/>
    </row>
    <row r="415" spans="1:49" x14ac:dyDescent="0.2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  <c r="AA415" s="1"/>
      <c r="AB415" s="1"/>
      <c r="AC415" s="1"/>
      <c r="AD415" s="1"/>
      <c r="AE415" s="1"/>
      <c r="AF415" s="1"/>
      <c r="AG415" s="1"/>
      <c r="AH415" s="1"/>
      <c r="AI415" s="1"/>
      <c r="AJ415" s="1"/>
      <c r="AK415" s="1"/>
      <c r="AL415" s="1"/>
      <c r="AM415" s="1"/>
      <c r="AN415" s="1"/>
      <c r="AO415" s="1"/>
      <c r="AP415" s="1"/>
      <c r="AQ415" s="1"/>
      <c r="AR415" s="1"/>
      <c r="AS415" s="1"/>
      <c r="AT415" s="1"/>
      <c r="AU415" s="1"/>
      <c r="AV415" s="1"/>
      <c r="AW415" s="1"/>
    </row>
    <row r="416" spans="1:49" x14ac:dyDescent="0.2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  <c r="AA416" s="1"/>
      <c r="AB416" s="1"/>
      <c r="AC416" s="1"/>
      <c r="AD416" s="1"/>
      <c r="AE416" s="1"/>
      <c r="AF416" s="1"/>
      <c r="AG416" s="1"/>
      <c r="AH416" s="1"/>
      <c r="AI416" s="1"/>
      <c r="AJ416" s="1"/>
      <c r="AK416" s="1"/>
      <c r="AL416" s="1"/>
      <c r="AM416" s="1"/>
      <c r="AN416" s="1"/>
      <c r="AO416" s="1"/>
      <c r="AP416" s="1"/>
      <c r="AQ416" s="1"/>
      <c r="AR416" s="1"/>
      <c r="AS416" s="1"/>
      <c r="AT416" s="1"/>
      <c r="AU416" s="1"/>
      <c r="AV416" s="1"/>
      <c r="AW416" s="1"/>
    </row>
    <row r="417" spans="1:49" x14ac:dyDescent="0.2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  <c r="AA417" s="1"/>
      <c r="AB417" s="1"/>
      <c r="AC417" s="1"/>
      <c r="AD417" s="1"/>
      <c r="AE417" s="1"/>
      <c r="AF417" s="1"/>
      <c r="AG417" s="1"/>
      <c r="AH417" s="1"/>
      <c r="AI417" s="1"/>
      <c r="AJ417" s="1"/>
      <c r="AK417" s="1"/>
      <c r="AL417" s="1"/>
      <c r="AM417" s="1"/>
      <c r="AN417" s="1"/>
      <c r="AO417" s="1"/>
      <c r="AP417" s="1"/>
      <c r="AQ417" s="1"/>
      <c r="AR417" s="1"/>
      <c r="AS417" s="1"/>
      <c r="AT417" s="1"/>
      <c r="AU417" s="1"/>
      <c r="AV417" s="1"/>
      <c r="AW417" s="1"/>
    </row>
    <row r="418" spans="1:49" x14ac:dyDescent="0.2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  <c r="AA418" s="1"/>
      <c r="AB418" s="1"/>
      <c r="AC418" s="1"/>
      <c r="AD418" s="1"/>
      <c r="AE418" s="1"/>
      <c r="AF418" s="1"/>
      <c r="AG418" s="1"/>
      <c r="AH418" s="1"/>
      <c r="AI418" s="1"/>
      <c r="AJ418" s="1"/>
      <c r="AK418" s="1"/>
      <c r="AL418" s="1"/>
      <c r="AM418" s="1"/>
      <c r="AN418" s="1"/>
      <c r="AO418" s="1"/>
      <c r="AP418" s="1"/>
      <c r="AQ418" s="1"/>
      <c r="AR418" s="1"/>
      <c r="AS418" s="1"/>
      <c r="AT418" s="1"/>
      <c r="AU418" s="1"/>
      <c r="AV418" s="1"/>
      <c r="AW418" s="1"/>
    </row>
    <row r="419" spans="1:49" x14ac:dyDescent="0.2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  <c r="AA419" s="1"/>
      <c r="AB419" s="1"/>
      <c r="AC419" s="1"/>
      <c r="AD419" s="1"/>
      <c r="AE419" s="1"/>
      <c r="AF419" s="1"/>
      <c r="AG419" s="1"/>
      <c r="AH419" s="1"/>
      <c r="AI419" s="1"/>
      <c r="AJ419" s="1"/>
      <c r="AK419" s="1"/>
      <c r="AL419" s="1"/>
      <c r="AM419" s="1"/>
      <c r="AN419" s="1"/>
      <c r="AO419" s="1"/>
      <c r="AP419" s="1"/>
      <c r="AQ419" s="1"/>
      <c r="AR419" s="1"/>
      <c r="AS419" s="1"/>
      <c r="AT419" s="1"/>
      <c r="AU419" s="1"/>
      <c r="AV419" s="1"/>
      <c r="AW419" s="1"/>
    </row>
    <row r="420" spans="1:49" x14ac:dyDescent="0.2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  <c r="AA420" s="1"/>
      <c r="AB420" s="1"/>
      <c r="AC420" s="1"/>
      <c r="AD420" s="1"/>
      <c r="AE420" s="1"/>
      <c r="AF420" s="1"/>
      <c r="AG420" s="1"/>
      <c r="AH420" s="1"/>
      <c r="AI420" s="1"/>
      <c r="AJ420" s="1"/>
      <c r="AK420" s="1"/>
      <c r="AL420" s="1"/>
      <c r="AM420" s="1"/>
      <c r="AN420" s="1"/>
      <c r="AO420" s="1"/>
      <c r="AP420" s="1"/>
      <c r="AQ420" s="1"/>
      <c r="AR420" s="1"/>
      <c r="AS420" s="1"/>
      <c r="AT420" s="1"/>
      <c r="AU420" s="1"/>
      <c r="AV420" s="1"/>
      <c r="AW420" s="1"/>
    </row>
    <row r="421" spans="1:49" x14ac:dyDescent="0.2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  <c r="AA421" s="1"/>
      <c r="AB421" s="1"/>
      <c r="AC421" s="1"/>
      <c r="AD421" s="1"/>
      <c r="AE421" s="1"/>
      <c r="AF421" s="1"/>
      <c r="AG421" s="1"/>
      <c r="AH421" s="1"/>
      <c r="AI421" s="1"/>
      <c r="AJ421" s="1"/>
      <c r="AK421" s="1"/>
      <c r="AL421" s="1"/>
      <c r="AM421" s="1"/>
      <c r="AN421" s="1"/>
      <c r="AO421" s="1"/>
      <c r="AP421" s="1"/>
      <c r="AQ421" s="1"/>
      <c r="AR421" s="1"/>
      <c r="AS421" s="1"/>
      <c r="AT421" s="1"/>
      <c r="AU421" s="1"/>
      <c r="AV421" s="1"/>
      <c r="AW421" s="1"/>
    </row>
    <row r="422" spans="1:49" x14ac:dyDescent="0.2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  <c r="AA422" s="1"/>
      <c r="AB422" s="1"/>
      <c r="AC422" s="1"/>
      <c r="AD422" s="1"/>
      <c r="AE422" s="1"/>
      <c r="AF422" s="1"/>
      <c r="AG422" s="1"/>
      <c r="AH422" s="1"/>
      <c r="AI422" s="1"/>
      <c r="AJ422" s="1"/>
      <c r="AK422" s="1"/>
      <c r="AL422" s="1"/>
      <c r="AM422" s="1"/>
      <c r="AN422" s="1"/>
      <c r="AO422" s="1"/>
      <c r="AP422" s="1"/>
      <c r="AQ422" s="1"/>
      <c r="AR422" s="1"/>
      <c r="AS422" s="1"/>
      <c r="AT422" s="1"/>
      <c r="AU422" s="1"/>
      <c r="AV422" s="1"/>
      <c r="AW422" s="1"/>
    </row>
    <row r="423" spans="1:49" x14ac:dyDescent="0.2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  <c r="AA423" s="1"/>
      <c r="AB423" s="1"/>
      <c r="AC423" s="1"/>
      <c r="AD423" s="1"/>
      <c r="AE423" s="1"/>
      <c r="AF423" s="1"/>
      <c r="AG423" s="1"/>
      <c r="AH423" s="1"/>
      <c r="AI423" s="1"/>
      <c r="AJ423" s="1"/>
      <c r="AK423" s="1"/>
      <c r="AL423" s="1"/>
      <c r="AM423" s="1"/>
      <c r="AN423" s="1"/>
      <c r="AO423" s="1"/>
      <c r="AP423" s="1"/>
      <c r="AQ423" s="1"/>
      <c r="AR423" s="1"/>
      <c r="AS423" s="1"/>
      <c r="AT423" s="1"/>
      <c r="AU423" s="1"/>
      <c r="AV423" s="1"/>
      <c r="AW423" s="1"/>
    </row>
    <row r="424" spans="1:49" x14ac:dyDescent="0.2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  <c r="AA424" s="1"/>
      <c r="AB424" s="1"/>
      <c r="AC424" s="1"/>
      <c r="AD424" s="1"/>
      <c r="AE424" s="1"/>
      <c r="AF424" s="1"/>
      <c r="AG424" s="1"/>
      <c r="AH424" s="1"/>
      <c r="AI424" s="1"/>
      <c r="AJ424" s="1"/>
      <c r="AK424" s="1"/>
      <c r="AL424" s="1"/>
      <c r="AM424" s="1"/>
      <c r="AN424" s="1"/>
      <c r="AO424" s="1"/>
      <c r="AP424" s="1"/>
      <c r="AQ424" s="1"/>
      <c r="AR424" s="1"/>
      <c r="AS424" s="1"/>
      <c r="AT424" s="1"/>
      <c r="AU424" s="1"/>
      <c r="AV424" s="1"/>
      <c r="AW424" s="1"/>
    </row>
    <row r="425" spans="1:49" x14ac:dyDescent="0.2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  <c r="AA425" s="1"/>
      <c r="AB425" s="1"/>
      <c r="AC425" s="1"/>
      <c r="AD425" s="1"/>
      <c r="AE425" s="1"/>
      <c r="AF425" s="1"/>
      <c r="AG425" s="1"/>
      <c r="AH425" s="1"/>
      <c r="AI425" s="1"/>
      <c r="AJ425" s="1"/>
      <c r="AK425" s="1"/>
      <c r="AL425" s="1"/>
      <c r="AM425" s="1"/>
      <c r="AN425" s="1"/>
      <c r="AO425" s="1"/>
      <c r="AP425" s="1"/>
      <c r="AQ425" s="1"/>
      <c r="AR425" s="1"/>
      <c r="AS425" s="1"/>
      <c r="AT425" s="1"/>
      <c r="AU425" s="1"/>
      <c r="AV425" s="1"/>
      <c r="AW425" s="1"/>
    </row>
    <row r="426" spans="1:49" x14ac:dyDescent="0.2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  <c r="AA426" s="1"/>
      <c r="AB426" s="1"/>
      <c r="AC426" s="1"/>
      <c r="AD426" s="1"/>
      <c r="AE426" s="1"/>
      <c r="AF426" s="1"/>
      <c r="AG426" s="1"/>
      <c r="AH426" s="1"/>
      <c r="AI426" s="1"/>
      <c r="AJ426" s="1"/>
      <c r="AK426" s="1"/>
      <c r="AL426" s="1"/>
      <c r="AM426" s="1"/>
      <c r="AN426" s="1"/>
      <c r="AO426" s="1"/>
      <c r="AP426" s="1"/>
      <c r="AQ426" s="1"/>
      <c r="AR426" s="1"/>
      <c r="AS426" s="1"/>
      <c r="AT426" s="1"/>
      <c r="AU426" s="1"/>
      <c r="AV426" s="1"/>
      <c r="AW426" s="1"/>
    </row>
    <row r="427" spans="1:49" x14ac:dyDescent="0.2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  <c r="AA427" s="1"/>
      <c r="AB427" s="1"/>
      <c r="AC427" s="1"/>
      <c r="AD427" s="1"/>
      <c r="AE427" s="1"/>
      <c r="AF427" s="1"/>
      <c r="AG427" s="1"/>
      <c r="AH427" s="1"/>
      <c r="AI427" s="1"/>
      <c r="AJ427" s="1"/>
      <c r="AK427" s="1"/>
      <c r="AL427" s="1"/>
      <c r="AM427" s="1"/>
      <c r="AN427" s="1"/>
      <c r="AO427" s="1"/>
      <c r="AP427" s="1"/>
      <c r="AQ427" s="1"/>
      <c r="AR427" s="1"/>
      <c r="AS427" s="1"/>
      <c r="AT427" s="1"/>
      <c r="AU427" s="1"/>
      <c r="AV427" s="1"/>
      <c r="AW427" s="1"/>
    </row>
    <row r="428" spans="1:49" x14ac:dyDescent="0.2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  <c r="AA428" s="1"/>
      <c r="AB428" s="1"/>
      <c r="AC428" s="1"/>
      <c r="AD428" s="1"/>
      <c r="AE428" s="1"/>
      <c r="AF428" s="1"/>
      <c r="AG428" s="1"/>
      <c r="AH428" s="1"/>
      <c r="AI428" s="1"/>
      <c r="AJ428" s="1"/>
      <c r="AK428" s="1"/>
      <c r="AL428" s="1"/>
      <c r="AM428" s="1"/>
      <c r="AN428" s="1"/>
      <c r="AO428" s="1"/>
      <c r="AP428" s="1"/>
      <c r="AQ428" s="1"/>
      <c r="AR428" s="1"/>
      <c r="AS428" s="1"/>
      <c r="AT428" s="1"/>
      <c r="AU428" s="1"/>
      <c r="AV428" s="1"/>
      <c r="AW428" s="1"/>
    </row>
    <row r="429" spans="1:49" x14ac:dyDescent="0.2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  <c r="AA429" s="1"/>
      <c r="AB429" s="1"/>
      <c r="AC429" s="1"/>
      <c r="AD429" s="1"/>
      <c r="AE429" s="1"/>
      <c r="AF429" s="1"/>
      <c r="AG429" s="1"/>
      <c r="AH429" s="1"/>
      <c r="AI429" s="1"/>
      <c r="AJ429" s="1"/>
      <c r="AK429" s="1"/>
      <c r="AL429" s="1"/>
      <c r="AM429" s="1"/>
      <c r="AN429" s="1"/>
      <c r="AO429" s="1"/>
      <c r="AP429" s="1"/>
      <c r="AQ429" s="1"/>
      <c r="AR429" s="1"/>
      <c r="AS429" s="1"/>
      <c r="AT429" s="1"/>
      <c r="AU429" s="1"/>
      <c r="AV429" s="1"/>
      <c r="AW429" s="1"/>
    </row>
    <row r="430" spans="1:49" x14ac:dyDescent="0.2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  <c r="AA430" s="1"/>
      <c r="AB430" s="1"/>
      <c r="AC430" s="1"/>
      <c r="AD430" s="1"/>
      <c r="AE430" s="1"/>
      <c r="AF430" s="1"/>
      <c r="AG430" s="1"/>
      <c r="AH430" s="1"/>
      <c r="AI430" s="1"/>
      <c r="AJ430" s="1"/>
      <c r="AK430" s="1"/>
      <c r="AL430" s="1"/>
      <c r="AM430" s="1"/>
      <c r="AN430" s="1"/>
      <c r="AO430" s="1"/>
      <c r="AP430" s="1"/>
      <c r="AQ430" s="1"/>
      <c r="AR430" s="1"/>
      <c r="AS430" s="1"/>
      <c r="AT430" s="1"/>
      <c r="AU430" s="1"/>
      <c r="AV430" s="1"/>
      <c r="AW430" s="1"/>
    </row>
    <row r="431" spans="1:49" x14ac:dyDescent="0.2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  <c r="AA431" s="1"/>
      <c r="AB431" s="1"/>
      <c r="AC431" s="1"/>
      <c r="AD431" s="1"/>
      <c r="AE431" s="1"/>
      <c r="AF431" s="1"/>
      <c r="AG431" s="1"/>
      <c r="AH431" s="1"/>
      <c r="AI431" s="1"/>
      <c r="AJ431" s="1"/>
      <c r="AK431" s="1"/>
      <c r="AL431" s="1"/>
      <c r="AM431" s="1"/>
      <c r="AN431" s="1"/>
      <c r="AO431" s="1"/>
      <c r="AP431" s="1"/>
      <c r="AQ431" s="1"/>
      <c r="AR431" s="1"/>
      <c r="AS431" s="1"/>
      <c r="AT431" s="1"/>
      <c r="AU431" s="1"/>
      <c r="AV431" s="1"/>
      <c r="AW431" s="1"/>
    </row>
    <row r="432" spans="1:49" x14ac:dyDescent="0.2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  <c r="AA432" s="1"/>
      <c r="AB432" s="1"/>
      <c r="AC432" s="1"/>
      <c r="AD432" s="1"/>
      <c r="AE432" s="1"/>
      <c r="AF432" s="1"/>
      <c r="AG432" s="1"/>
      <c r="AH432" s="1"/>
      <c r="AI432" s="1"/>
      <c r="AJ432" s="1"/>
      <c r="AK432" s="1"/>
      <c r="AL432" s="1"/>
      <c r="AM432" s="1"/>
      <c r="AN432" s="1"/>
      <c r="AO432" s="1"/>
      <c r="AP432" s="1"/>
      <c r="AQ432" s="1"/>
      <c r="AR432" s="1"/>
      <c r="AS432" s="1"/>
      <c r="AT432" s="1"/>
      <c r="AU432" s="1"/>
      <c r="AV432" s="1"/>
      <c r="AW432" s="1"/>
    </row>
    <row r="433" spans="1:49" x14ac:dyDescent="0.2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  <c r="AA433" s="1"/>
      <c r="AB433" s="1"/>
      <c r="AC433" s="1"/>
      <c r="AD433" s="1"/>
      <c r="AE433" s="1"/>
      <c r="AF433" s="1"/>
      <c r="AG433" s="1"/>
      <c r="AH433" s="1"/>
      <c r="AI433" s="1"/>
      <c r="AJ433" s="1"/>
      <c r="AK433" s="1"/>
      <c r="AL433" s="1"/>
      <c r="AM433" s="1"/>
      <c r="AN433" s="1"/>
      <c r="AO433" s="1"/>
      <c r="AP433" s="1"/>
      <c r="AQ433" s="1"/>
      <c r="AR433" s="1"/>
      <c r="AS433" s="1"/>
      <c r="AT433" s="1"/>
      <c r="AU433" s="1"/>
      <c r="AV433" s="1"/>
      <c r="AW433" s="1"/>
    </row>
    <row r="434" spans="1:49" x14ac:dyDescent="0.2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  <c r="AA434" s="1"/>
      <c r="AB434" s="1"/>
      <c r="AC434" s="1"/>
      <c r="AD434" s="1"/>
      <c r="AE434" s="1"/>
      <c r="AF434" s="1"/>
      <c r="AG434" s="1"/>
      <c r="AH434" s="1"/>
      <c r="AI434" s="1"/>
      <c r="AJ434" s="1"/>
      <c r="AK434" s="1"/>
      <c r="AL434" s="1"/>
      <c r="AM434" s="1"/>
      <c r="AN434" s="1"/>
      <c r="AO434" s="1"/>
      <c r="AP434" s="1"/>
      <c r="AQ434" s="1"/>
      <c r="AR434" s="1"/>
      <c r="AS434" s="1"/>
      <c r="AT434" s="1"/>
      <c r="AU434" s="1"/>
      <c r="AV434" s="1"/>
      <c r="AW434" s="1"/>
    </row>
    <row r="435" spans="1:49" x14ac:dyDescent="0.2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  <c r="AA435" s="1"/>
      <c r="AB435" s="1"/>
      <c r="AC435" s="1"/>
      <c r="AD435" s="1"/>
      <c r="AE435" s="1"/>
      <c r="AF435" s="1"/>
      <c r="AG435" s="1"/>
      <c r="AH435" s="1"/>
      <c r="AI435" s="1"/>
      <c r="AJ435" s="1"/>
      <c r="AK435" s="1"/>
      <c r="AL435" s="1"/>
      <c r="AM435" s="1"/>
      <c r="AN435" s="1"/>
      <c r="AO435" s="1"/>
      <c r="AP435" s="1"/>
      <c r="AQ435" s="1"/>
      <c r="AR435" s="1"/>
      <c r="AS435" s="1"/>
      <c r="AT435" s="1"/>
      <c r="AU435" s="1"/>
      <c r="AV435" s="1"/>
      <c r="AW435" s="1"/>
    </row>
    <row r="436" spans="1:49" x14ac:dyDescent="0.2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  <c r="AA436" s="1"/>
      <c r="AB436" s="1"/>
      <c r="AC436" s="1"/>
      <c r="AD436" s="1"/>
      <c r="AE436" s="1"/>
      <c r="AF436" s="1"/>
      <c r="AG436" s="1"/>
      <c r="AH436" s="1"/>
      <c r="AI436" s="1"/>
      <c r="AJ436" s="1"/>
      <c r="AK436" s="1"/>
      <c r="AL436" s="1"/>
      <c r="AM436" s="1"/>
      <c r="AN436" s="1"/>
      <c r="AO436" s="1"/>
      <c r="AP436" s="1"/>
      <c r="AQ436" s="1"/>
      <c r="AR436" s="1"/>
      <c r="AS436" s="1"/>
      <c r="AT436" s="1"/>
      <c r="AU436" s="1"/>
      <c r="AV436" s="1"/>
      <c r="AW436" s="1"/>
    </row>
    <row r="437" spans="1:49" x14ac:dyDescent="0.2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  <c r="AA437" s="1"/>
      <c r="AB437" s="1"/>
      <c r="AC437" s="1"/>
      <c r="AD437" s="1"/>
      <c r="AE437" s="1"/>
      <c r="AF437" s="1"/>
      <c r="AG437" s="1"/>
      <c r="AH437" s="1"/>
      <c r="AI437" s="1"/>
      <c r="AJ437" s="1"/>
      <c r="AK437" s="1"/>
      <c r="AL437" s="1"/>
      <c r="AM437" s="1"/>
      <c r="AN437" s="1"/>
      <c r="AO437" s="1"/>
      <c r="AP437" s="1"/>
      <c r="AQ437" s="1"/>
      <c r="AR437" s="1"/>
      <c r="AS437" s="1"/>
      <c r="AT437" s="1"/>
      <c r="AU437" s="1"/>
      <c r="AV437" s="1"/>
      <c r="AW437" s="1"/>
    </row>
    <row r="438" spans="1:49" x14ac:dyDescent="0.2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  <c r="AA438" s="1"/>
      <c r="AB438" s="1"/>
      <c r="AC438" s="1"/>
      <c r="AD438" s="1"/>
      <c r="AE438" s="1"/>
      <c r="AF438" s="1"/>
      <c r="AG438" s="1"/>
      <c r="AH438" s="1"/>
      <c r="AI438" s="1"/>
      <c r="AJ438" s="1"/>
      <c r="AK438" s="1"/>
      <c r="AL438" s="1"/>
      <c r="AM438" s="1"/>
      <c r="AN438" s="1"/>
      <c r="AO438" s="1"/>
      <c r="AP438" s="1"/>
      <c r="AQ438" s="1"/>
      <c r="AR438" s="1"/>
      <c r="AS438" s="1"/>
      <c r="AT438" s="1"/>
      <c r="AU438" s="1"/>
      <c r="AV438" s="1"/>
      <c r="AW438" s="1"/>
    </row>
    <row r="439" spans="1:49" x14ac:dyDescent="0.2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  <c r="AA439" s="1"/>
      <c r="AB439" s="1"/>
      <c r="AC439" s="1"/>
      <c r="AD439" s="1"/>
      <c r="AE439" s="1"/>
      <c r="AF439" s="1"/>
      <c r="AG439" s="1"/>
      <c r="AH439" s="1"/>
      <c r="AI439" s="1"/>
      <c r="AJ439" s="1"/>
      <c r="AK439" s="1"/>
      <c r="AL439" s="1"/>
      <c r="AM439" s="1"/>
      <c r="AN439" s="1"/>
      <c r="AO439" s="1"/>
      <c r="AP439" s="1"/>
      <c r="AQ439" s="1"/>
      <c r="AR439" s="1"/>
      <c r="AS439" s="1"/>
      <c r="AT439" s="1"/>
      <c r="AU439" s="1"/>
      <c r="AV439" s="1"/>
      <c r="AW439" s="1"/>
    </row>
    <row r="440" spans="1:49" x14ac:dyDescent="0.2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  <c r="AA440" s="1"/>
      <c r="AB440" s="1"/>
      <c r="AC440" s="1"/>
      <c r="AD440" s="1"/>
      <c r="AE440" s="1"/>
      <c r="AF440" s="1"/>
      <c r="AG440" s="1"/>
      <c r="AH440" s="1"/>
      <c r="AI440" s="1"/>
      <c r="AJ440" s="1"/>
      <c r="AK440" s="1"/>
      <c r="AL440" s="1"/>
      <c r="AM440" s="1"/>
      <c r="AN440" s="1"/>
      <c r="AO440" s="1"/>
      <c r="AP440" s="1"/>
      <c r="AQ440" s="1"/>
      <c r="AR440" s="1"/>
      <c r="AS440" s="1"/>
      <c r="AT440" s="1"/>
      <c r="AU440" s="1"/>
      <c r="AV440" s="1"/>
      <c r="AW440" s="1"/>
    </row>
    <row r="441" spans="1:49" x14ac:dyDescent="0.2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  <c r="AA441" s="1"/>
      <c r="AB441" s="1"/>
      <c r="AC441" s="1"/>
      <c r="AD441" s="1"/>
      <c r="AE441" s="1"/>
      <c r="AF441" s="1"/>
      <c r="AG441" s="1"/>
      <c r="AH441" s="1"/>
      <c r="AI441" s="1"/>
      <c r="AJ441" s="1"/>
      <c r="AK441" s="1"/>
      <c r="AL441" s="1"/>
      <c r="AM441" s="1"/>
      <c r="AN441" s="1"/>
      <c r="AO441" s="1"/>
      <c r="AP441" s="1"/>
      <c r="AQ441" s="1"/>
      <c r="AR441" s="1"/>
      <c r="AS441" s="1"/>
      <c r="AT441" s="1"/>
      <c r="AU441" s="1"/>
      <c r="AV441" s="1"/>
      <c r="AW441" s="1"/>
    </row>
    <row r="442" spans="1:49" x14ac:dyDescent="0.2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  <c r="AA442" s="1"/>
      <c r="AB442" s="1"/>
      <c r="AC442" s="1"/>
      <c r="AD442" s="1"/>
      <c r="AE442" s="1"/>
      <c r="AF442" s="1"/>
      <c r="AG442" s="1"/>
      <c r="AH442" s="1"/>
      <c r="AI442" s="1"/>
      <c r="AJ442" s="1"/>
      <c r="AK442" s="1"/>
      <c r="AL442" s="1"/>
      <c r="AM442" s="1"/>
      <c r="AN442" s="1"/>
      <c r="AO442" s="1"/>
      <c r="AP442" s="1"/>
      <c r="AQ442" s="1"/>
      <c r="AR442" s="1"/>
      <c r="AS442" s="1"/>
      <c r="AT442" s="1"/>
      <c r="AU442" s="1"/>
      <c r="AV442" s="1"/>
      <c r="AW442" s="1"/>
    </row>
    <row r="443" spans="1:49" x14ac:dyDescent="0.2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  <c r="AA443" s="1"/>
      <c r="AB443" s="1"/>
      <c r="AC443" s="1"/>
      <c r="AD443" s="1"/>
      <c r="AE443" s="1"/>
      <c r="AF443" s="1"/>
      <c r="AG443" s="1"/>
      <c r="AH443" s="1"/>
      <c r="AI443" s="1"/>
      <c r="AJ443" s="1"/>
      <c r="AK443" s="1"/>
      <c r="AL443" s="1"/>
      <c r="AM443" s="1"/>
      <c r="AN443" s="1"/>
      <c r="AO443" s="1"/>
      <c r="AP443" s="1"/>
      <c r="AQ443" s="1"/>
      <c r="AR443" s="1"/>
      <c r="AS443" s="1"/>
      <c r="AT443" s="1"/>
      <c r="AU443" s="1"/>
      <c r="AV443" s="1"/>
      <c r="AW443" s="1"/>
    </row>
    <row r="444" spans="1:49" x14ac:dyDescent="0.2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  <c r="AA444" s="1"/>
      <c r="AB444" s="1"/>
      <c r="AC444" s="1"/>
      <c r="AD444" s="1"/>
      <c r="AE444" s="1"/>
      <c r="AF444" s="1"/>
      <c r="AG444" s="1"/>
      <c r="AH444" s="1"/>
      <c r="AI444" s="1"/>
      <c r="AJ444" s="1"/>
      <c r="AK444" s="1"/>
      <c r="AL444" s="1"/>
      <c r="AM444" s="1"/>
      <c r="AN444" s="1"/>
      <c r="AO444" s="1"/>
      <c r="AP444" s="1"/>
      <c r="AQ444" s="1"/>
      <c r="AR444" s="1"/>
      <c r="AS444" s="1"/>
      <c r="AT444" s="1"/>
      <c r="AU444" s="1"/>
      <c r="AV444" s="1"/>
      <c r="AW444" s="1"/>
    </row>
    <row r="445" spans="1:49" x14ac:dyDescent="0.2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  <c r="AA445" s="1"/>
      <c r="AB445" s="1"/>
      <c r="AC445" s="1"/>
      <c r="AD445" s="1"/>
      <c r="AE445" s="1"/>
      <c r="AF445" s="1"/>
      <c r="AG445" s="1"/>
      <c r="AH445" s="1"/>
      <c r="AI445" s="1"/>
      <c r="AJ445" s="1"/>
      <c r="AK445" s="1"/>
      <c r="AL445" s="1"/>
      <c r="AM445" s="1"/>
      <c r="AN445" s="1"/>
      <c r="AO445" s="1"/>
      <c r="AP445" s="1"/>
      <c r="AQ445" s="1"/>
      <c r="AR445" s="1"/>
      <c r="AS445" s="1"/>
      <c r="AT445" s="1"/>
      <c r="AU445" s="1"/>
      <c r="AV445" s="1"/>
      <c r="AW445" s="1"/>
    </row>
    <row r="446" spans="1:49" x14ac:dyDescent="0.2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  <c r="AA446" s="1"/>
      <c r="AB446" s="1"/>
      <c r="AC446" s="1"/>
      <c r="AD446" s="1"/>
      <c r="AE446" s="1"/>
      <c r="AF446" s="1"/>
      <c r="AG446" s="1"/>
      <c r="AH446" s="1"/>
      <c r="AI446" s="1"/>
      <c r="AJ446" s="1"/>
      <c r="AK446" s="1"/>
      <c r="AL446" s="1"/>
      <c r="AM446" s="1"/>
      <c r="AN446" s="1"/>
      <c r="AO446" s="1"/>
      <c r="AP446" s="1"/>
      <c r="AQ446" s="1"/>
      <c r="AR446" s="1"/>
      <c r="AS446" s="1"/>
      <c r="AT446" s="1"/>
      <c r="AU446" s="1"/>
      <c r="AV446" s="1"/>
      <c r="AW446" s="1"/>
    </row>
    <row r="447" spans="1:49" x14ac:dyDescent="0.2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  <c r="AA447" s="1"/>
      <c r="AB447" s="1"/>
      <c r="AC447" s="1"/>
      <c r="AD447" s="1"/>
      <c r="AE447" s="1"/>
      <c r="AF447" s="1"/>
      <c r="AG447" s="1"/>
      <c r="AH447" s="1"/>
      <c r="AI447" s="1"/>
      <c r="AJ447" s="1"/>
      <c r="AK447" s="1"/>
      <c r="AL447" s="1"/>
      <c r="AM447" s="1"/>
      <c r="AN447" s="1"/>
      <c r="AO447" s="1"/>
      <c r="AP447" s="1"/>
      <c r="AQ447" s="1"/>
      <c r="AR447" s="1"/>
      <c r="AS447" s="1"/>
      <c r="AT447" s="1"/>
      <c r="AU447" s="1"/>
      <c r="AV447" s="1"/>
      <c r="AW447" s="1"/>
    </row>
    <row r="448" spans="1:49" x14ac:dyDescent="0.2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  <c r="AA448" s="1"/>
      <c r="AB448" s="1"/>
      <c r="AC448" s="1"/>
      <c r="AD448" s="1"/>
      <c r="AE448" s="1"/>
      <c r="AF448" s="1"/>
      <c r="AG448" s="1"/>
      <c r="AH448" s="1"/>
      <c r="AI448" s="1"/>
      <c r="AJ448" s="1"/>
      <c r="AK448" s="1"/>
      <c r="AL448" s="1"/>
      <c r="AM448" s="1"/>
      <c r="AN448" s="1"/>
      <c r="AO448" s="1"/>
      <c r="AP448" s="1"/>
      <c r="AQ448" s="1"/>
      <c r="AR448" s="1"/>
      <c r="AS448" s="1"/>
      <c r="AT448" s="1"/>
      <c r="AU448" s="1"/>
      <c r="AV448" s="1"/>
      <c r="AW448" s="1"/>
    </row>
    <row r="449" spans="1:49" x14ac:dyDescent="0.2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  <c r="AA449" s="1"/>
      <c r="AB449" s="1"/>
      <c r="AC449" s="1"/>
      <c r="AD449" s="1"/>
      <c r="AE449" s="1"/>
      <c r="AF449" s="1"/>
      <c r="AG449" s="1"/>
      <c r="AH449" s="1"/>
      <c r="AI449" s="1"/>
      <c r="AJ449" s="1"/>
      <c r="AK449" s="1"/>
      <c r="AL449" s="1"/>
      <c r="AM449" s="1"/>
      <c r="AN449" s="1"/>
      <c r="AO449" s="1"/>
      <c r="AP449" s="1"/>
      <c r="AQ449" s="1"/>
      <c r="AR449" s="1"/>
      <c r="AS449" s="1"/>
      <c r="AT449" s="1"/>
      <c r="AU449" s="1"/>
      <c r="AV449" s="1"/>
      <c r="AW449" s="1"/>
    </row>
    <row r="450" spans="1:49" x14ac:dyDescent="0.2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  <c r="AA450" s="1"/>
      <c r="AB450" s="1"/>
      <c r="AC450" s="1"/>
      <c r="AD450" s="1"/>
      <c r="AE450" s="1"/>
      <c r="AF450" s="1"/>
      <c r="AG450" s="1"/>
      <c r="AH450" s="1"/>
      <c r="AI450" s="1"/>
      <c r="AJ450" s="1"/>
      <c r="AK450" s="1"/>
      <c r="AL450" s="1"/>
      <c r="AM450" s="1"/>
      <c r="AN450" s="1"/>
      <c r="AO450" s="1"/>
      <c r="AP450" s="1"/>
      <c r="AQ450" s="1"/>
      <c r="AR450" s="1"/>
      <c r="AS450" s="1"/>
      <c r="AT450" s="1"/>
      <c r="AU450" s="1"/>
      <c r="AV450" s="1"/>
      <c r="AW450" s="1"/>
    </row>
    <row r="451" spans="1:49" x14ac:dyDescent="0.2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  <c r="AA451" s="1"/>
      <c r="AB451" s="1"/>
      <c r="AC451" s="1"/>
      <c r="AD451" s="1"/>
      <c r="AE451" s="1"/>
      <c r="AF451" s="1"/>
      <c r="AG451" s="1"/>
      <c r="AH451" s="1"/>
      <c r="AI451" s="1"/>
      <c r="AJ451" s="1"/>
      <c r="AK451" s="1"/>
      <c r="AL451" s="1"/>
      <c r="AM451" s="1"/>
      <c r="AN451" s="1"/>
      <c r="AO451" s="1"/>
      <c r="AP451" s="1"/>
      <c r="AQ451" s="1"/>
      <c r="AR451" s="1"/>
      <c r="AS451" s="1"/>
      <c r="AT451" s="1"/>
      <c r="AU451" s="1"/>
      <c r="AV451" s="1"/>
      <c r="AW451" s="1"/>
    </row>
    <row r="452" spans="1:49" x14ac:dyDescent="0.2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  <c r="AA452" s="1"/>
      <c r="AB452" s="1"/>
      <c r="AC452" s="1"/>
      <c r="AD452" s="1"/>
      <c r="AE452" s="1"/>
      <c r="AF452" s="1"/>
      <c r="AG452" s="1"/>
      <c r="AH452" s="1"/>
      <c r="AI452" s="1"/>
      <c r="AJ452" s="1"/>
      <c r="AK452" s="1"/>
      <c r="AL452" s="1"/>
      <c r="AM452" s="1"/>
      <c r="AN452" s="1"/>
      <c r="AO452" s="1"/>
      <c r="AP452" s="1"/>
      <c r="AQ452" s="1"/>
      <c r="AR452" s="1"/>
      <c r="AS452" s="1"/>
      <c r="AT452" s="1"/>
      <c r="AU452" s="1"/>
      <c r="AV452" s="1"/>
      <c r="AW452" s="1"/>
    </row>
    <row r="453" spans="1:49" x14ac:dyDescent="0.2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  <c r="AA453" s="1"/>
      <c r="AB453" s="1"/>
      <c r="AC453" s="1"/>
      <c r="AD453" s="1"/>
      <c r="AE453" s="1"/>
      <c r="AF453" s="1"/>
      <c r="AG453" s="1"/>
      <c r="AH453" s="1"/>
      <c r="AI453" s="1"/>
      <c r="AJ453" s="1"/>
      <c r="AK453" s="1"/>
      <c r="AL453" s="1"/>
      <c r="AM453" s="1"/>
      <c r="AN453" s="1"/>
      <c r="AO453" s="1"/>
      <c r="AP453" s="1"/>
      <c r="AQ453" s="1"/>
      <c r="AR453" s="1"/>
      <c r="AS453" s="1"/>
      <c r="AT453" s="1"/>
      <c r="AU453" s="1"/>
      <c r="AV453" s="1"/>
      <c r="AW453" s="1"/>
    </row>
    <row r="454" spans="1:49" x14ac:dyDescent="0.2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  <c r="AA454" s="1"/>
      <c r="AB454" s="1"/>
      <c r="AC454" s="1"/>
      <c r="AD454" s="1"/>
      <c r="AE454" s="1"/>
      <c r="AF454" s="1"/>
      <c r="AG454" s="1"/>
      <c r="AH454" s="1"/>
      <c r="AI454" s="1"/>
      <c r="AJ454" s="1"/>
      <c r="AK454" s="1"/>
      <c r="AL454" s="1"/>
      <c r="AM454" s="1"/>
      <c r="AN454" s="1"/>
      <c r="AO454" s="1"/>
      <c r="AP454" s="1"/>
      <c r="AQ454" s="1"/>
      <c r="AR454" s="1"/>
      <c r="AS454" s="1"/>
      <c r="AT454" s="1"/>
      <c r="AU454" s="1"/>
      <c r="AV454" s="1"/>
      <c r="AW454" s="1"/>
    </row>
    <row r="455" spans="1:49" x14ac:dyDescent="0.2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  <c r="AA455" s="1"/>
      <c r="AB455" s="1"/>
      <c r="AC455" s="1"/>
      <c r="AD455" s="1"/>
      <c r="AE455" s="1"/>
      <c r="AF455" s="1"/>
      <c r="AG455" s="1"/>
      <c r="AH455" s="1"/>
      <c r="AI455" s="1"/>
      <c r="AJ455" s="1"/>
      <c r="AK455" s="1"/>
      <c r="AL455" s="1"/>
      <c r="AM455" s="1"/>
      <c r="AN455" s="1"/>
      <c r="AO455" s="1"/>
      <c r="AP455" s="1"/>
      <c r="AQ455" s="1"/>
      <c r="AR455" s="1"/>
      <c r="AS455" s="1"/>
      <c r="AT455" s="1"/>
      <c r="AU455" s="1"/>
      <c r="AV455" s="1"/>
      <c r="AW455" s="1"/>
    </row>
    <row r="456" spans="1:49" x14ac:dyDescent="0.2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  <c r="AA456" s="1"/>
      <c r="AB456" s="1"/>
      <c r="AC456" s="1"/>
      <c r="AD456" s="1"/>
      <c r="AE456" s="1"/>
      <c r="AF456" s="1"/>
      <c r="AG456" s="1"/>
      <c r="AH456" s="1"/>
      <c r="AI456" s="1"/>
      <c r="AJ456" s="1"/>
      <c r="AK456" s="1"/>
      <c r="AL456" s="1"/>
      <c r="AM456" s="1"/>
      <c r="AN456" s="1"/>
      <c r="AO456" s="1"/>
      <c r="AP456" s="1"/>
      <c r="AQ456" s="1"/>
      <c r="AR456" s="1"/>
      <c r="AS456" s="1"/>
      <c r="AT456" s="1"/>
      <c r="AU456" s="1"/>
      <c r="AV456" s="1"/>
      <c r="AW456" s="1"/>
    </row>
    <row r="457" spans="1:49" x14ac:dyDescent="0.2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  <c r="AA457" s="1"/>
      <c r="AB457" s="1"/>
      <c r="AC457" s="1"/>
      <c r="AD457" s="1"/>
      <c r="AE457" s="1"/>
      <c r="AF457" s="1"/>
      <c r="AG457" s="1"/>
      <c r="AH457" s="1"/>
      <c r="AI457" s="1"/>
      <c r="AJ457" s="1"/>
      <c r="AK457" s="1"/>
      <c r="AL457" s="1"/>
      <c r="AM457" s="1"/>
      <c r="AN457" s="1"/>
      <c r="AO457" s="1"/>
      <c r="AP457" s="1"/>
      <c r="AQ457" s="1"/>
      <c r="AR457" s="1"/>
      <c r="AS457" s="1"/>
      <c r="AT457" s="1"/>
      <c r="AU457" s="1"/>
      <c r="AV457" s="1"/>
      <c r="AW457" s="1"/>
    </row>
    <row r="458" spans="1:49" x14ac:dyDescent="0.2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  <c r="AA458" s="1"/>
      <c r="AB458" s="1"/>
      <c r="AC458" s="1"/>
      <c r="AD458" s="1"/>
      <c r="AE458" s="1"/>
      <c r="AF458" s="1"/>
      <c r="AG458" s="1"/>
      <c r="AH458" s="1"/>
      <c r="AI458" s="1"/>
      <c r="AJ458" s="1"/>
      <c r="AK458" s="1"/>
      <c r="AL458" s="1"/>
      <c r="AM458" s="1"/>
      <c r="AN458" s="1"/>
      <c r="AO458" s="1"/>
      <c r="AP458" s="1"/>
      <c r="AQ458" s="1"/>
      <c r="AR458" s="1"/>
      <c r="AS458" s="1"/>
      <c r="AT458" s="1"/>
      <c r="AU458" s="1"/>
      <c r="AV458" s="1"/>
      <c r="AW458" s="1"/>
    </row>
    <row r="459" spans="1:49" x14ac:dyDescent="0.2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  <c r="AA459" s="1"/>
      <c r="AB459" s="1"/>
      <c r="AC459" s="1"/>
      <c r="AD459" s="1"/>
      <c r="AE459" s="1"/>
      <c r="AF459" s="1"/>
      <c r="AG459" s="1"/>
      <c r="AH459" s="1"/>
      <c r="AI459" s="1"/>
      <c r="AJ459" s="1"/>
      <c r="AK459" s="1"/>
      <c r="AL459" s="1"/>
      <c r="AM459" s="1"/>
      <c r="AN459" s="1"/>
      <c r="AO459" s="1"/>
      <c r="AP459" s="1"/>
      <c r="AQ459" s="1"/>
      <c r="AR459" s="1"/>
      <c r="AS459" s="1"/>
      <c r="AT459" s="1"/>
      <c r="AU459" s="1"/>
      <c r="AV459" s="1"/>
      <c r="AW459" s="1"/>
    </row>
    <row r="460" spans="1:49" x14ac:dyDescent="0.2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  <c r="AB460" s="1"/>
      <c r="AC460" s="1"/>
      <c r="AD460" s="1"/>
      <c r="AE460" s="1"/>
      <c r="AF460" s="1"/>
      <c r="AG460" s="1"/>
      <c r="AH460" s="1"/>
      <c r="AI460" s="1"/>
      <c r="AJ460" s="1"/>
      <c r="AK460" s="1"/>
      <c r="AL460" s="1"/>
      <c r="AM460" s="1"/>
      <c r="AN460" s="1"/>
      <c r="AO460" s="1"/>
      <c r="AP460" s="1"/>
      <c r="AQ460" s="1"/>
      <c r="AR460" s="1"/>
      <c r="AS460" s="1"/>
      <c r="AT460" s="1"/>
      <c r="AU460" s="1"/>
      <c r="AV460" s="1"/>
      <c r="AW460" s="1"/>
    </row>
    <row r="461" spans="1:49" x14ac:dyDescent="0.2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1"/>
      <c r="AB461" s="1"/>
      <c r="AC461" s="1"/>
      <c r="AD461" s="1"/>
      <c r="AE461" s="1"/>
      <c r="AF461" s="1"/>
      <c r="AG461" s="1"/>
      <c r="AH461" s="1"/>
      <c r="AI461" s="1"/>
      <c r="AJ461" s="1"/>
      <c r="AK461" s="1"/>
      <c r="AL461" s="1"/>
      <c r="AM461" s="1"/>
      <c r="AN461" s="1"/>
      <c r="AO461" s="1"/>
      <c r="AP461" s="1"/>
      <c r="AQ461" s="1"/>
      <c r="AR461" s="1"/>
      <c r="AS461" s="1"/>
      <c r="AT461" s="1"/>
      <c r="AU461" s="1"/>
      <c r="AV461" s="1"/>
      <c r="AW461" s="1"/>
    </row>
    <row r="462" spans="1:49" x14ac:dyDescent="0.2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  <c r="AA462" s="1"/>
      <c r="AB462" s="1"/>
      <c r="AC462" s="1"/>
      <c r="AD462" s="1"/>
      <c r="AE462" s="1"/>
      <c r="AF462" s="1"/>
      <c r="AG462" s="1"/>
      <c r="AH462" s="1"/>
      <c r="AI462" s="1"/>
      <c r="AJ462" s="1"/>
      <c r="AK462" s="1"/>
      <c r="AL462" s="1"/>
      <c r="AM462" s="1"/>
      <c r="AN462" s="1"/>
      <c r="AO462" s="1"/>
      <c r="AP462" s="1"/>
      <c r="AQ462" s="1"/>
      <c r="AR462" s="1"/>
      <c r="AS462" s="1"/>
      <c r="AT462" s="1"/>
      <c r="AU462" s="1"/>
      <c r="AV462" s="1"/>
      <c r="AW462" s="1"/>
    </row>
    <row r="463" spans="1:49" x14ac:dyDescent="0.2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  <c r="AB463" s="1"/>
      <c r="AC463" s="1"/>
      <c r="AD463" s="1"/>
      <c r="AE463" s="1"/>
      <c r="AF463" s="1"/>
      <c r="AG463" s="1"/>
      <c r="AH463" s="1"/>
      <c r="AI463" s="1"/>
      <c r="AJ463" s="1"/>
      <c r="AK463" s="1"/>
      <c r="AL463" s="1"/>
      <c r="AM463" s="1"/>
      <c r="AN463" s="1"/>
      <c r="AO463" s="1"/>
      <c r="AP463" s="1"/>
      <c r="AQ463" s="1"/>
      <c r="AR463" s="1"/>
      <c r="AS463" s="1"/>
      <c r="AT463" s="1"/>
      <c r="AU463" s="1"/>
      <c r="AV463" s="1"/>
      <c r="AW463" s="1"/>
    </row>
    <row r="464" spans="1:49" x14ac:dyDescent="0.2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A464" s="1"/>
      <c r="AB464" s="1"/>
      <c r="AC464" s="1"/>
      <c r="AD464" s="1"/>
      <c r="AE464" s="1"/>
      <c r="AF464" s="1"/>
      <c r="AG464" s="1"/>
      <c r="AH464" s="1"/>
      <c r="AI464" s="1"/>
      <c r="AJ464" s="1"/>
      <c r="AK464" s="1"/>
      <c r="AL464" s="1"/>
      <c r="AM464" s="1"/>
      <c r="AN464" s="1"/>
      <c r="AO464" s="1"/>
      <c r="AP464" s="1"/>
      <c r="AQ464" s="1"/>
      <c r="AR464" s="1"/>
      <c r="AS464" s="1"/>
      <c r="AT464" s="1"/>
      <c r="AU464" s="1"/>
      <c r="AV464" s="1"/>
      <c r="AW464" s="1"/>
    </row>
    <row r="465" spans="1:49" x14ac:dyDescent="0.2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A465" s="1"/>
      <c r="AB465" s="1"/>
      <c r="AC465" s="1"/>
      <c r="AD465" s="1"/>
      <c r="AE465" s="1"/>
      <c r="AF465" s="1"/>
      <c r="AG465" s="1"/>
      <c r="AH465" s="1"/>
      <c r="AI465" s="1"/>
      <c r="AJ465" s="1"/>
      <c r="AK465" s="1"/>
      <c r="AL465" s="1"/>
      <c r="AM465" s="1"/>
      <c r="AN465" s="1"/>
      <c r="AO465" s="1"/>
      <c r="AP465" s="1"/>
      <c r="AQ465" s="1"/>
      <c r="AR465" s="1"/>
      <c r="AS465" s="1"/>
      <c r="AT465" s="1"/>
      <c r="AU465" s="1"/>
      <c r="AV465" s="1"/>
      <c r="AW465" s="1"/>
    </row>
    <row r="466" spans="1:49" x14ac:dyDescent="0.2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A466" s="1"/>
      <c r="AB466" s="1"/>
      <c r="AC466" s="1"/>
      <c r="AD466" s="1"/>
      <c r="AE466" s="1"/>
      <c r="AF466" s="1"/>
      <c r="AG466" s="1"/>
      <c r="AH466" s="1"/>
      <c r="AI466" s="1"/>
      <c r="AJ466" s="1"/>
      <c r="AK466" s="1"/>
      <c r="AL466" s="1"/>
      <c r="AM466" s="1"/>
      <c r="AN466" s="1"/>
      <c r="AO466" s="1"/>
      <c r="AP466" s="1"/>
      <c r="AQ466" s="1"/>
      <c r="AR466" s="1"/>
      <c r="AS466" s="1"/>
      <c r="AT466" s="1"/>
      <c r="AU466" s="1"/>
      <c r="AV466" s="1"/>
      <c r="AW466" s="1"/>
    </row>
    <row r="467" spans="1:49" x14ac:dyDescent="0.2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A467" s="1"/>
      <c r="AB467" s="1"/>
      <c r="AC467" s="1"/>
      <c r="AD467" s="1"/>
      <c r="AE467" s="1"/>
      <c r="AF467" s="1"/>
      <c r="AG467" s="1"/>
      <c r="AH467" s="1"/>
      <c r="AI467" s="1"/>
      <c r="AJ467" s="1"/>
      <c r="AK467" s="1"/>
      <c r="AL467" s="1"/>
      <c r="AM467" s="1"/>
      <c r="AN467" s="1"/>
      <c r="AO467" s="1"/>
      <c r="AP467" s="1"/>
      <c r="AQ467" s="1"/>
      <c r="AR467" s="1"/>
      <c r="AS467" s="1"/>
      <c r="AT467" s="1"/>
      <c r="AU467" s="1"/>
      <c r="AV467" s="1"/>
      <c r="AW467" s="1"/>
    </row>
    <row r="468" spans="1:49" x14ac:dyDescent="0.2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  <c r="AB468" s="1"/>
      <c r="AC468" s="1"/>
      <c r="AD468" s="1"/>
      <c r="AE468" s="1"/>
      <c r="AF468" s="1"/>
      <c r="AG468" s="1"/>
      <c r="AH468" s="1"/>
      <c r="AI468" s="1"/>
      <c r="AJ468" s="1"/>
      <c r="AK468" s="1"/>
      <c r="AL468" s="1"/>
      <c r="AM468" s="1"/>
      <c r="AN468" s="1"/>
      <c r="AO468" s="1"/>
      <c r="AP468" s="1"/>
      <c r="AQ468" s="1"/>
      <c r="AR468" s="1"/>
      <c r="AS468" s="1"/>
      <c r="AT468" s="1"/>
      <c r="AU468" s="1"/>
      <c r="AV468" s="1"/>
      <c r="AW468" s="1"/>
    </row>
    <row r="469" spans="1:49" x14ac:dyDescent="0.2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1"/>
      <c r="AB469" s="1"/>
      <c r="AC469" s="1"/>
      <c r="AD469" s="1"/>
      <c r="AE469" s="1"/>
      <c r="AF469" s="1"/>
      <c r="AG469" s="1"/>
      <c r="AH469" s="1"/>
      <c r="AI469" s="1"/>
      <c r="AJ469" s="1"/>
      <c r="AK469" s="1"/>
      <c r="AL469" s="1"/>
      <c r="AM469" s="1"/>
      <c r="AN469" s="1"/>
      <c r="AO469" s="1"/>
      <c r="AP469" s="1"/>
      <c r="AQ469" s="1"/>
      <c r="AR469" s="1"/>
      <c r="AS469" s="1"/>
      <c r="AT469" s="1"/>
      <c r="AU469" s="1"/>
      <c r="AV469" s="1"/>
      <c r="AW469" s="1"/>
    </row>
    <row r="470" spans="1:49" x14ac:dyDescent="0.2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1"/>
      <c r="AB470" s="1"/>
      <c r="AC470" s="1"/>
      <c r="AD470" s="1"/>
      <c r="AE470" s="1"/>
      <c r="AF470" s="1"/>
      <c r="AG470" s="1"/>
      <c r="AH470" s="1"/>
      <c r="AI470" s="1"/>
      <c r="AJ470" s="1"/>
      <c r="AK470" s="1"/>
      <c r="AL470" s="1"/>
      <c r="AM470" s="1"/>
      <c r="AN470" s="1"/>
      <c r="AO470" s="1"/>
      <c r="AP470" s="1"/>
      <c r="AQ470" s="1"/>
      <c r="AR470" s="1"/>
      <c r="AS470" s="1"/>
      <c r="AT470" s="1"/>
      <c r="AU470" s="1"/>
      <c r="AV470" s="1"/>
      <c r="AW470" s="1"/>
    </row>
    <row r="471" spans="1:49" x14ac:dyDescent="0.2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1"/>
      <c r="AB471" s="1"/>
      <c r="AC471" s="1"/>
      <c r="AD471" s="1"/>
      <c r="AE471" s="1"/>
      <c r="AF471" s="1"/>
      <c r="AG471" s="1"/>
      <c r="AH471" s="1"/>
      <c r="AI471" s="1"/>
      <c r="AJ471" s="1"/>
      <c r="AK471" s="1"/>
      <c r="AL471" s="1"/>
      <c r="AM471" s="1"/>
      <c r="AN471" s="1"/>
      <c r="AO471" s="1"/>
      <c r="AP471" s="1"/>
      <c r="AQ471" s="1"/>
      <c r="AR471" s="1"/>
      <c r="AS471" s="1"/>
      <c r="AT471" s="1"/>
      <c r="AU471" s="1"/>
      <c r="AV471" s="1"/>
      <c r="AW471" s="1"/>
    </row>
    <row r="472" spans="1:49" x14ac:dyDescent="0.2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  <c r="AA472" s="1"/>
      <c r="AB472" s="1"/>
      <c r="AC472" s="1"/>
      <c r="AD472" s="1"/>
      <c r="AE472" s="1"/>
      <c r="AF472" s="1"/>
      <c r="AG472" s="1"/>
      <c r="AH472" s="1"/>
      <c r="AI472" s="1"/>
      <c r="AJ472" s="1"/>
      <c r="AK472" s="1"/>
      <c r="AL472" s="1"/>
      <c r="AM472" s="1"/>
      <c r="AN472" s="1"/>
      <c r="AO472" s="1"/>
      <c r="AP472" s="1"/>
      <c r="AQ472" s="1"/>
      <c r="AR472" s="1"/>
      <c r="AS472" s="1"/>
      <c r="AT472" s="1"/>
      <c r="AU472" s="1"/>
      <c r="AV472" s="1"/>
      <c r="AW472" s="1"/>
    </row>
    <row r="473" spans="1:49" x14ac:dyDescent="0.2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  <c r="AA473" s="1"/>
      <c r="AB473" s="1"/>
      <c r="AC473" s="1"/>
      <c r="AD473" s="1"/>
      <c r="AE473" s="1"/>
      <c r="AF473" s="1"/>
      <c r="AG473" s="1"/>
      <c r="AH473" s="1"/>
      <c r="AI473" s="1"/>
      <c r="AJ473" s="1"/>
      <c r="AK473" s="1"/>
      <c r="AL473" s="1"/>
      <c r="AM473" s="1"/>
      <c r="AN473" s="1"/>
      <c r="AO473" s="1"/>
      <c r="AP473" s="1"/>
      <c r="AQ473" s="1"/>
      <c r="AR473" s="1"/>
      <c r="AS473" s="1"/>
      <c r="AT473" s="1"/>
      <c r="AU473" s="1"/>
      <c r="AV473" s="1"/>
      <c r="AW473" s="1"/>
    </row>
    <row r="474" spans="1:49" x14ac:dyDescent="0.2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  <c r="AA474" s="1"/>
      <c r="AB474" s="1"/>
      <c r="AC474" s="1"/>
      <c r="AD474" s="1"/>
      <c r="AE474" s="1"/>
      <c r="AF474" s="1"/>
      <c r="AG474" s="1"/>
      <c r="AH474" s="1"/>
      <c r="AI474" s="1"/>
      <c r="AJ474" s="1"/>
      <c r="AK474" s="1"/>
      <c r="AL474" s="1"/>
      <c r="AM474" s="1"/>
      <c r="AN474" s="1"/>
      <c r="AO474" s="1"/>
      <c r="AP474" s="1"/>
      <c r="AQ474" s="1"/>
      <c r="AR474" s="1"/>
      <c r="AS474" s="1"/>
      <c r="AT474" s="1"/>
      <c r="AU474" s="1"/>
      <c r="AV474" s="1"/>
      <c r="AW474" s="1"/>
    </row>
    <row r="475" spans="1:49" x14ac:dyDescent="0.2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  <c r="AA475" s="1"/>
      <c r="AB475" s="1"/>
      <c r="AC475" s="1"/>
      <c r="AD475" s="1"/>
      <c r="AE475" s="1"/>
      <c r="AF475" s="1"/>
      <c r="AG475" s="1"/>
      <c r="AH475" s="1"/>
      <c r="AI475" s="1"/>
      <c r="AJ475" s="1"/>
      <c r="AK475" s="1"/>
      <c r="AL475" s="1"/>
      <c r="AM475" s="1"/>
      <c r="AN475" s="1"/>
      <c r="AO475" s="1"/>
      <c r="AP475" s="1"/>
      <c r="AQ475" s="1"/>
      <c r="AR475" s="1"/>
      <c r="AS475" s="1"/>
      <c r="AT475" s="1"/>
      <c r="AU475" s="1"/>
      <c r="AV475" s="1"/>
      <c r="AW475" s="1"/>
    </row>
    <row r="476" spans="1:49" x14ac:dyDescent="0.2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  <c r="AA476" s="1"/>
      <c r="AB476" s="1"/>
      <c r="AC476" s="1"/>
      <c r="AD476" s="1"/>
      <c r="AE476" s="1"/>
      <c r="AF476" s="1"/>
      <c r="AG476" s="1"/>
      <c r="AH476" s="1"/>
      <c r="AI476" s="1"/>
      <c r="AJ476" s="1"/>
      <c r="AK476" s="1"/>
      <c r="AL476" s="1"/>
      <c r="AM476" s="1"/>
      <c r="AN476" s="1"/>
      <c r="AO476" s="1"/>
      <c r="AP476" s="1"/>
      <c r="AQ476" s="1"/>
      <c r="AR476" s="1"/>
      <c r="AS476" s="1"/>
      <c r="AT476" s="1"/>
      <c r="AU476" s="1"/>
      <c r="AV476" s="1"/>
      <c r="AW476" s="1"/>
    </row>
    <row r="477" spans="1:49" x14ac:dyDescent="0.2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  <c r="AA477" s="1"/>
      <c r="AB477" s="1"/>
      <c r="AC477" s="1"/>
      <c r="AD477" s="1"/>
      <c r="AE477" s="1"/>
      <c r="AF477" s="1"/>
      <c r="AG477" s="1"/>
      <c r="AH477" s="1"/>
      <c r="AI477" s="1"/>
      <c r="AJ477" s="1"/>
      <c r="AK477" s="1"/>
      <c r="AL477" s="1"/>
      <c r="AM477" s="1"/>
      <c r="AN477" s="1"/>
      <c r="AO477" s="1"/>
      <c r="AP477" s="1"/>
      <c r="AQ477" s="1"/>
      <c r="AR477" s="1"/>
      <c r="AS477" s="1"/>
      <c r="AT477" s="1"/>
      <c r="AU477" s="1"/>
      <c r="AV477" s="1"/>
      <c r="AW477" s="1"/>
    </row>
    <row r="478" spans="1:49" x14ac:dyDescent="0.2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  <c r="AA478" s="1"/>
      <c r="AB478" s="1"/>
      <c r="AC478" s="1"/>
      <c r="AD478" s="1"/>
      <c r="AE478" s="1"/>
      <c r="AF478" s="1"/>
      <c r="AG478" s="1"/>
      <c r="AH478" s="1"/>
      <c r="AI478" s="1"/>
      <c r="AJ478" s="1"/>
      <c r="AK478" s="1"/>
      <c r="AL478" s="1"/>
      <c r="AM478" s="1"/>
      <c r="AN478" s="1"/>
      <c r="AO478" s="1"/>
      <c r="AP478" s="1"/>
      <c r="AQ478" s="1"/>
      <c r="AR478" s="1"/>
      <c r="AS478" s="1"/>
      <c r="AT478" s="1"/>
      <c r="AU478" s="1"/>
      <c r="AV478" s="1"/>
      <c r="AW478" s="1"/>
    </row>
    <row r="479" spans="1:49" x14ac:dyDescent="0.2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  <c r="AA479" s="1"/>
      <c r="AB479" s="1"/>
      <c r="AC479" s="1"/>
      <c r="AD479" s="1"/>
      <c r="AE479" s="1"/>
      <c r="AF479" s="1"/>
      <c r="AG479" s="1"/>
      <c r="AH479" s="1"/>
      <c r="AI479" s="1"/>
      <c r="AJ479" s="1"/>
      <c r="AK479" s="1"/>
      <c r="AL479" s="1"/>
      <c r="AM479" s="1"/>
      <c r="AN479" s="1"/>
      <c r="AO479" s="1"/>
      <c r="AP479" s="1"/>
      <c r="AQ479" s="1"/>
      <c r="AR479" s="1"/>
      <c r="AS479" s="1"/>
      <c r="AT479" s="1"/>
      <c r="AU479" s="1"/>
      <c r="AV479" s="1"/>
      <c r="AW479" s="1"/>
    </row>
    <row r="480" spans="1:49" x14ac:dyDescent="0.2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  <c r="AA480" s="1"/>
      <c r="AB480" s="1"/>
      <c r="AC480" s="1"/>
      <c r="AD480" s="1"/>
      <c r="AE480" s="1"/>
      <c r="AF480" s="1"/>
      <c r="AG480" s="1"/>
      <c r="AH480" s="1"/>
      <c r="AI480" s="1"/>
      <c r="AJ480" s="1"/>
      <c r="AK480" s="1"/>
      <c r="AL480" s="1"/>
      <c r="AM480" s="1"/>
      <c r="AN480" s="1"/>
      <c r="AO480" s="1"/>
      <c r="AP480" s="1"/>
      <c r="AQ480" s="1"/>
      <c r="AR480" s="1"/>
      <c r="AS480" s="1"/>
      <c r="AT480" s="1"/>
      <c r="AU480" s="1"/>
      <c r="AV480" s="1"/>
      <c r="AW480" s="1"/>
    </row>
    <row r="481" spans="1:49" x14ac:dyDescent="0.2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  <c r="AA481" s="1"/>
      <c r="AB481" s="1"/>
      <c r="AC481" s="1"/>
      <c r="AD481" s="1"/>
      <c r="AE481" s="1"/>
      <c r="AF481" s="1"/>
      <c r="AG481" s="1"/>
      <c r="AH481" s="1"/>
      <c r="AI481" s="1"/>
      <c r="AJ481" s="1"/>
      <c r="AK481" s="1"/>
      <c r="AL481" s="1"/>
      <c r="AM481" s="1"/>
      <c r="AN481" s="1"/>
      <c r="AO481" s="1"/>
      <c r="AP481" s="1"/>
      <c r="AQ481" s="1"/>
      <c r="AR481" s="1"/>
      <c r="AS481" s="1"/>
      <c r="AT481" s="1"/>
      <c r="AU481" s="1"/>
      <c r="AV481" s="1"/>
      <c r="AW481" s="1"/>
    </row>
    <row r="482" spans="1:49" x14ac:dyDescent="0.2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  <c r="AA482" s="1"/>
      <c r="AB482" s="1"/>
      <c r="AC482" s="1"/>
      <c r="AD482" s="1"/>
      <c r="AE482" s="1"/>
      <c r="AF482" s="1"/>
      <c r="AG482" s="1"/>
      <c r="AH482" s="1"/>
      <c r="AI482" s="1"/>
      <c r="AJ482" s="1"/>
      <c r="AK482" s="1"/>
      <c r="AL482" s="1"/>
      <c r="AM482" s="1"/>
      <c r="AN482" s="1"/>
      <c r="AO482" s="1"/>
      <c r="AP482" s="1"/>
      <c r="AQ482" s="1"/>
      <c r="AR482" s="1"/>
      <c r="AS482" s="1"/>
      <c r="AT482" s="1"/>
      <c r="AU482" s="1"/>
      <c r="AV482" s="1"/>
      <c r="AW482" s="1"/>
    </row>
    <row r="483" spans="1:49" x14ac:dyDescent="0.2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  <c r="AA483" s="1"/>
      <c r="AB483" s="1"/>
      <c r="AC483" s="1"/>
      <c r="AD483" s="1"/>
      <c r="AE483" s="1"/>
      <c r="AF483" s="1"/>
      <c r="AG483" s="1"/>
      <c r="AH483" s="1"/>
      <c r="AI483" s="1"/>
      <c r="AJ483" s="1"/>
      <c r="AK483" s="1"/>
      <c r="AL483" s="1"/>
      <c r="AM483" s="1"/>
      <c r="AN483" s="1"/>
      <c r="AO483" s="1"/>
      <c r="AP483" s="1"/>
      <c r="AQ483" s="1"/>
      <c r="AR483" s="1"/>
      <c r="AS483" s="1"/>
      <c r="AT483" s="1"/>
      <c r="AU483" s="1"/>
      <c r="AV483" s="1"/>
      <c r="AW483" s="1"/>
    </row>
    <row r="484" spans="1:49" x14ac:dyDescent="0.2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  <c r="AA484" s="1"/>
      <c r="AB484" s="1"/>
      <c r="AC484" s="1"/>
      <c r="AD484" s="1"/>
      <c r="AE484" s="1"/>
      <c r="AF484" s="1"/>
      <c r="AG484" s="1"/>
      <c r="AH484" s="1"/>
      <c r="AI484" s="1"/>
      <c r="AJ484" s="1"/>
      <c r="AK484" s="1"/>
      <c r="AL484" s="1"/>
      <c r="AM484" s="1"/>
      <c r="AN484" s="1"/>
      <c r="AO484" s="1"/>
      <c r="AP484" s="1"/>
      <c r="AQ484" s="1"/>
      <c r="AR484" s="1"/>
      <c r="AS484" s="1"/>
      <c r="AT484" s="1"/>
      <c r="AU484" s="1"/>
      <c r="AV484" s="1"/>
      <c r="AW484" s="1"/>
    </row>
    <row r="485" spans="1:49" x14ac:dyDescent="0.2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  <c r="AA485" s="1"/>
      <c r="AB485" s="1"/>
      <c r="AC485" s="1"/>
      <c r="AD485" s="1"/>
      <c r="AE485" s="1"/>
      <c r="AF485" s="1"/>
      <c r="AG485" s="1"/>
      <c r="AH485" s="1"/>
      <c r="AI485" s="1"/>
      <c r="AJ485" s="1"/>
      <c r="AK485" s="1"/>
      <c r="AL485" s="1"/>
      <c r="AM485" s="1"/>
      <c r="AN485" s="1"/>
      <c r="AO485" s="1"/>
      <c r="AP485" s="1"/>
      <c r="AQ485" s="1"/>
      <c r="AR485" s="1"/>
      <c r="AS485" s="1"/>
      <c r="AT485" s="1"/>
      <c r="AU485" s="1"/>
      <c r="AV485" s="1"/>
      <c r="AW485" s="1"/>
    </row>
    <row r="486" spans="1:49" x14ac:dyDescent="0.2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  <c r="AA486" s="1"/>
      <c r="AB486" s="1"/>
      <c r="AC486" s="1"/>
      <c r="AD486" s="1"/>
      <c r="AE486" s="1"/>
      <c r="AF486" s="1"/>
      <c r="AG486" s="1"/>
      <c r="AH486" s="1"/>
      <c r="AI486" s="1"/>
      <c r="AJ486" s="1"/>
      <c r="AK486" s="1"/>
      <c r="AL486" s="1"/>
      <c r="AM486" s="1"/>
      <c r="AN486" s="1"/>
      <c r="AO486" s="1"/>
      <c r="AP486" s="1"/>
      <c r="AQ486" s="1"/>
      <c r="AR486" s="1"/>
      <c r="AS486" s="1"/>
      <c r="AT486" s="1"/>
      <c r="AU486" s="1"/>
      <c r="AV486" s="1"/>
      <c r="AW486" s="1"/>
    </row>
    <row r="487" spans="1:49" x14ac:dyDescent="0.2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  <c r="AA487" s="1"/>
      <c r="AB487" s="1"/>
      <c r="AC487" s="1"/>
      <c r="AD487" s="1"/>
      <c r="AE487" s="1"/>
      <c r="AF487" s="1"/>
      <c r="AG487" s="1"/>
      <c r="AH487" s="1"/>
      <c r="AI487" s="1"/>
      <c r="AJ487" s="1"/>
      <c r="AK487" s="1"/>
      <c r="AL487" s="1"/>
      <c r="AM487" s="1"/>
      <c r="AN487" s="1"/>
      <c r="AO487" s="1"/>
      <c r="AP487" s="1"/>
      <c r="AQ487" s="1"/>
      <c r="AR487" s="1"/>
      <c r="AS487" s="1"/>
      <c r="AT487" s="1"/>
      <c r="AU487" s="1"/>
      <c r="AV487" s="1"/>
      <c r="AW487" s="1"/>
    </row>
    <row r="488" spans="1:49" x14ac:dyDescent="0.2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  <c r="AA488" s="1"/>
      <c r="AB488" s="1"/>
      <c r="AC488" s="1"/>
      <c r="AD488" s="1"/>
      <c r="AE488" s="1"/>
      <c r="AF488" s="1"/>
      <c r="AG488" s="1"/>
      <c r="AH488" s="1"/>
      <c r="AI488" s="1"/>
      <c r="AJ488" s="1"/>
      <c r="AK488" s="1"/>
      <c r="AL488" s="1"/>
      <c r="AM488" s="1"/>
      <c r="AN488" s="1"/>
      <c r="AO488" s="1"/>
      <c r="AP488" s="1"/>
      <c r="AQ488" s="1"/>
      <c r="AR488" s="1"/>
      <c r="AS488" s="1"/>
      <c r="AT488" s="1"/>
      <c r="AU488" s="1"/>
      <c r="AV488" s="1"/>
      <c r="AW488" s="1"/>
    </row>
    <row r="489" spans="1:49" x14ac:dyDescent="0.2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  <c r="AA489" s="1"/>
      <c r="AB489" s="1"/>
      <c r="AC489" s="1"/>
      <c r="AD489" s="1"/>
      <c r="AE489" s="1"/>
      <c r="AF489" s="1"/>
      <c r="AG489" s="1"/>
      <c r="AH489" s="1"/>
      <c r="AI489" s="1"/>
      <c r="AJ489" s="1"/>
      <c r="AK489" s="1"/>
      <c r="AL489" s="1"/>
      <c r="AM489" s="1"/>
      <c r="AN489" s="1"/>
      <c r="AO489" s="1"/>
      <c r="AP489" s="1"/>
      <c r="AQ489" s="1"/>
      <c r="AR489" s="1"/>
      <c r="AS489" s="1"/>
      <c r="AT489" s="1"/>
      <c r="AU489" s="1"/>
      <c r="AV489" s="1"/>
      <c r="AW489" s="1"/>
    </row>
    <row r="490" spans="1:49" x14ac:dyDescent="0.2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  <c r="AA490" s="1"/>
      <c r="AB490" s="1"/>
      <c r="AC490" s="1"/>
      <c r="AD490" s="1"/>
      <c r="AE490" s="1"/>
      <c r="AF490" s="1"/>
      <c r="AG490" s="1"/>
      <c r="AH490" s="1"/>
      <c r="AI490" s="1"/>
      <c r="AJ490" s="1"/>
      <c r="AK490" s="1"/>
      <c r="AL490" s="1"/>
      <c r="AM490" s="1"/>
      <c r="AN490" s="1"/>
      <c r="AO490" s="1"/>
      <c r="AP490" s="1"/>
      <c r="AQ490" s="1"/>
      <c r="AR490" s="1"/>
      <c r="AS490" s="1"/>
      <c r="AT490" s="1"/>
      <c r="AU490" s="1"/>
      <c r="AV490" s="1"/>
      <c r="AW490" s="1"/>
    </row>
    <row r="491" spans="1:49" x14ac:dyDescent="0.2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  <c r="AA491" s="1"/>
      <c r="AB491" s="1"/>
      <c r="AC491" s="1"/>
      <c r="AD491" s="1"/>
      <c r="AE491" s="1"/>
      <c r="AF491" s="1"/>
      <c r="AG491" s="1"/>
      <c r="AH491" s="1"/>
      <c r="AI491" s="1"/>
      <c r="AJ491" s="1"/>
      <c r="AK491" s="1"/>
      <c r="AL491" s="1"/>
      <c r="AM491" s="1"/>
      <c r="AN491" s="1"/>
      <c r="AO491" s="1"/>
      <c r="AP491" s="1"/>
      <c r="AQ491" s="1"/>
      <c r="AR491" s="1"/>
      <c r="AS491" s="1"/>
      <c r="AT491" s="1"/>
      <c r="AU491" s="1"/>
      <c r="AV491" s="1"/>
      <c r="AW491" s="1"/>
    </row>
    <row r="492" spans="1:49" x14ac:dyDescent="0.2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  <c r="AA492" s="1"/>
      <c r="AB492" s="1"/>
      <c r="AC492" s="1"/>
      <c r="AD492" s="1"/>
      <c r="AE492" s="1"/>
      <c r="AF492" s="1"/>
      <c r="AG492" s="1"/>
      <c r="AH492" s="1"/>
      <c r="AI492" s="1"/>
      <c r="AJ492" s="1"/>
      <c r="AK492" s="1"/>
      <c r="AL492" s="1"/>
      <c r="AM492" s="1"/>
      <c r="AN492" s="1"/>
      <c r="AO492" s="1"/>
      <c r="AP492" s="1"/>
      <c r="AQ492" s="1"/>
      <c r="AR492" s="1"/>
      <c r="AS492" s="1"/>
      <c r="AT492" s="1"/>
      <c r="AU492" s="1"/>
      <c r="AV492" s="1"/>
      <c r="AW492" s="1"/>
    </row>
    <row r="493" spans="1:49" x14ac:dyDescent="0.2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  <c r="AA493" s="1"/>
      <c r="AB493" s="1"/>
      <c r="AC493" s="1"/>
      <c r="AD493" s="1"/>
      <c r="AE493" s="1"/>
      <c r="AF493" s="1"/>
      <c r="AG493" s="1"/>
      <c r="AH493" s="1"/>
      <c r="AI493" s="1"/>
      <c r="AJ493" s="1"/>
      <c r="AK493" s="1"/>
      <c r="AL493" s="1"/>
      <c r="AM493" s="1"/>
      <c r="AN493" s="1"/>
      <c r="AO493" s="1"/>
      <c r="AP493" s="1"/>
      <c r="AQ493" s="1"/>
      <c r="AR493" s="1"/>
      <c r="AS493" s="1"/>
      <c r="AT493" s="1"/>
      <c r="AU493" s="1"/>
      <c r="AV493" s="1"/>
      <c r="AW493" s="1"/>
    </row>
    <row r="494" spans="1:49" x14ac:dyDescent="0.2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  <c r="AA494" s="1"/>
      <c r="AB494" s="1"/>
      <c r="AC494" s="1"/>
      <c r="AD494" s="1"/>
      <c r="AE494" s="1"/>
      <c r="AF494" s="1"/>
      <c r="AG494" s="1"/>
      <c r="AH494" s="1"/>
      <c r="AI494" s="1"/>
      <c r="AJ494" s="1"/>
      <c r="AK494" s="1"/>
      <c r="AL494" s="1"/>
      <c r="AM494" s="1"/>
      <c r="AN494" s="1"/>
      <c r="AO494" s="1"/>
      <c r="AP494" s="1"/>
      <c r="AQ494" s="1"/>
      <c r="AR494" s="1"/>
      <c r="AS494" s="1"/>
      <c r="AT494" s="1"/>
      <c r="AU494" s="1"/>
      <c r="AV494" s="1"/>
      <c r="AW494" s="1"/>
    </row>
    <row r="495" spans="1:49" x14ac:dyDescent="0.2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  <c r="AA495" s="1"/>
      <c r="AB495" s="1"/>
      <c r="AC495" s="1"/>
      <c r="AD495" s="1"/>
      <c r="AE495" s="1"/>
      <c r="AF495" s="1"/>
      <c r="AG495" s="1"/>
      <c r="AH495" s="1"/>
      <c r="AI495" s="1"/>
      <c r="AJ495" s="1"/>
      <c r="AK495" s="1"/>
      <c r="AL495" s="1"/>
      <c r="AM495" s="1"/>
      <c r="AN495" s="1"/>
      <c r="AO495" s="1"/>
      <c r="AP495" s="1"/>
      <c r="AQ495" s="1"/>
      <c r="AR495" s="1"/>
      <c r="AS495" s="1"/>
      <c r="AT495" s="1"/>
      <c r="AU495" s="1"/>
      <c r="AV495" s="1"/>
      <c r="AW495" s="1"/>
    </row>
    <row r="496" spans="1:49" x14ac:dyDescent="0.2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  <c r="AA496" s="1"/>
      <c r="AB496" s="1"/>
      <c r="AC496" s="1"/>
      <c r="AD496" s="1"/>
      <c r="AE496" s="1"/>
      <c r="AF496" s="1"/>
      <c r="AG496" s="1"/>
      <c r="AH496" s="1"/>
      <c r="AI496" s="1"/>
      <c r="AJ496" s="1"/>
      <c r="AK496" s="1"/>
      <c r="AL496" s="1"/>
      <c r="AM496" s="1"/>
      <c r="AN496" s="1"/>
      <c r="AO496" s="1"/>
      <c r="AP496" s="1"/>
      <c r="AQ496" s="1"/>
      <c r="AR496" s="1"/>
      <c r="AS496" s="1"/>
      <c r="AT496" s="1"/>
      <c r="AU496" s="1"/>
      <c r="AV496" s="1"/>
      <c r="AW496" s="1"/>
    </row>
    <row r="497" spans="1:49" x14ac:dyDescent="0.2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  <c r="AA497" s="1"/>
      <c r="AB497" s="1"/>
      <c r="AC497" s="1"/>
      <c r="AD497" s="1"/>
      <c r="AE497" s="1"/>
      <c r="AF497" s="1"/>
      <c r="AG497" s="1"/>
      <c r="AH497" s="1"/>
      <c r="AI497" s="1"/>
      <c r="AJ497" s="1"/>
      <c r="AK497" s="1"/>
      <c r="AL497" s="1"/>
      <c r="AM497" s="1"/>
      <c r="AN497" s="1"/>
      <c r="AO497" s="1"/>
      <c r="AP497" s="1"/>
      <c r="AQ497" s="1"/>
      <c r="AR497" s="1"/>
      <c r="AS497" s="1"/>
      <c r="AT497" s="1"/>
      <c r="AU497" s="1"/>
      <c r="AV497" s="1"/>
      <c r="AW497" s="1"/>
    </row>
    <row r="498" spans="1:49" x14ac:dyDescent="0.2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  <c r="AA498" s="1"/>
      <c r="AB498" s="1"/>
      <c r="AC498" s="1"/>
      <c r="AD498" s="1"/>
      <c r="AE498" s="1"/>
      <c r="AF498" s="1"/>
      <c r="AG498" s="1"/>
      <c r="AH498" s="1"/>
      <c r="AI498" s="1"/>
      <c r="AJ498" s="1"/>
      <c r="AK498" s="1"/>
      <c r="AL498" s="1"/>
      <c r="AM498" s="1"/>
      <c r="AN498" s="1"/>
      <c r="AO498" s="1"/>
      <c r="AP498" s="1"/>
      <c r="AQ498" s="1"/>
      <c r="AR498" s="1"/>
      <c r="AS498" s="1"/>
      <c r="AT498" s="1"/>
      <c r="AU498" s="1"/>
      <c r="AV498" s="1"/>
      <c r="AW498" s="1"/>
    </row>
    <row r="499" spans="1:49" x14ac:dyDescent="0.2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  <c r="AA499" s="1"/>
      <c r="AB499" s="1"/>
      <c r="AC499" s="1"/>
      <c r="AD499" s="1"/>
      <c r="AE499" s="1"/>
      <c r="AF499" s="1"/>
      <c r="AG499" s="1"/>
      <c r="AH499" s="1"/>
      <c r="AI499" s="1"/>
      <c r="AJ499" s="1"/>
      <c r="AK499" s="1"/>
      <c r="AL499" s="1"/>
      <c r="AM499" s="1"/>
      <c r="AN499" s="1"/>
      <c r="AO499" s="1"/>
      <c r="AP499" s="1"/>
      <c r="AQ499" s="1"/>
      <c r="AR499" s="1"/>
      <c r="AS499" s="1"/>
      <c r="AT499" s="1"/>
      <c r="AU499" s="1"/>
      <c r="AV499" s="1"/>
      <c r="AW499" s="1"/>
    </row>
    <row r="500" spans="1:49" x14ac:dyDescent="0.2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  <c r="AA500" s="1"/>
      <c r="AB500" s="1"/>
      <c r="AC500" s="1"/>
      <c r="AD500" s="1"/>
      <c r="AE500" s="1"/>
      <c r="AF500" s="1"/>
      <c r="AG500" s="1"/>
      <c r="AH500" s="1"/>
      <c r="AI500" s="1"/>
      <c r="AJ500" s="1"/>
      <c r="AK500" s="1"/>
      <c r="AL500" s="1"/>
      <c r="AM500" s="1"/>
      <c r="AN500" s="1"/>
      <c r="AO500" s="1"/>
      <c r="AP500" s="1"/>
      <c r="AQ500" s="1"/>
      <c r="AR500" s="1"/>
      <c r="AS500" s="1"/>
      <c r="AT500" s="1"/>
      <c r="AU500" s="1"/>
      <c r="AV500" s="1"/>
      <c r="AW500" s="1"/>
    </row>
    <row r="501" spans="1:49" x14ac:dyDescent="0.2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  <c r="AA501" s="1"/>
      <c r="AB501" s="1"/>
      <c r="AC501" s="1"/>
      <c r="AD501" s="1"/>
      <c r="AE501" s="1"/>
      <c r="AF501" s="1"/>
      <c r="AG501" s="1"/>
      <c r="AH501" s="1"/>
      <c r="AI501" s="1"/>
      <c r="AJ501" s="1"/>
      <c r="AK501" s="1"/>
      <c r="AL501" s="1"/>
      <c r="AM501" s="1"/>
      <c r="AN501" s="1"/>
      <c r="AO501" s="1"/>
      <c r="AP501" s="1"/>
      <c r="AQ501" s="1"/>
      <c r="AR501" s="1"/>
      <c r="AS501" s="1"/>
      <c r="AT501" s="1"/>
      <c r="AU501" s="1"/>
      <c r="AV501" s="1"/>
      <c r="AW501" s="1"/>
    </row>
    <row r="502" spans="1:49" x14ac:dyDescent="0.2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  <c r="AA502" s="1"/>
      <c r="AB502" s="1"/>
      <c r="AC502" s="1"/>
      <c r="AD502" s="1"/>
      <c r="AE502" s="1"/>
      <c r="AF502" s="1"/>
      <c r="AG502" s="1"/>
      <c r="AH502" s="1"/>
      <c r="AI502" s="1"/>
      <c r="AJ502" s="1"/>
      <c r="AK502" s="1"/>
      <c r="AL502" s="1"/>
      <c r="AM502" s="1"/>
      <c r="AN502" s="1"/>
      <c r="AO502" s="1"/>
      <c r="AP502" s="1"/>
      <c r="AQ502" s="1"/>
      <c r="AR502" s="1"/>
      <c r="AS502" s="1"/>
      <c r="AT502" s="1"/>
      <c r="AU502" s="1"/>
      <c r="AV502" s="1"/>
      <c r="AW502" s="1"/>
    </row>
    <row r="503" spans="1:49" x14ac:dyDescent="0.2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  <c r="AA503" s="1"/>
      <c r="AB503" s="1"/>
      <c r="AC503" s="1"/>
      <c r="AD503" s="1"/>
      <c r="AE503" s="1"/>
      <c r="AF503" s="1"/>
      <c r="AG503" s="1"/>
      <c r="AH503" s="1"/>
      <c r="AI503" s="1"/>
      <c r="AJ503" s="1"/>
      <c r="AK503" s="1"/>
      <c r="AL503" s="1"/>
      <c r="AM503" s="1"/>
      <c r="AN503" s="1"/>
      <c r="AO503" s="1"/>
      <c r="AP503" s="1"/>
      <c r="AQ503" s="1"/>
      <c r="AR503" s="1"/>
      <c r="AS503" s="1"/>
      <c r="AT503" s="1"/>
      <c r="AU503" s="1"/>
      <c r="AV503" s="1"/>
      <c r="AW503" s="1"/>
    </row>
    <row r="504" spans="1:49" x14ac:dyDescent="0.2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  <c r="AA504" s="1"/>
      <c r="AB504" s="1"/>
      <c r="AC504" s="1"/>
      <c r="AD504" s="1"/>
      <c r="AE504" s="1"/>
      <c r="AF504" s="1"/>
      <c r="AG504" s="1"/>
      <c r="AH504" s="1"/>
      <c r="AI504" s="1"/>
      <c r="AJ504" s="1"/>
      <c r="AK504" s="1"/>
      <c r="AL504" s="1"/>
      <c r="AM504" s="1"/>
      <c r="AN504" s="1"/>
      <c r="AO504" s="1"/>
      <c r="AP504" s="1"/>
      <c r="AQ504" s="1"/>
      <c r="AR504" s="1"/>
      <c r="AS504" s="1"/>
      <c r="AT504" s="1"/>
      <c r="AU504" s="1"/>
      <c r="AV504" s="1"/>
      <c r="AW504" s="1"/>
    </row>
    <row r="505" spans="1:49" x14ac:dyDescent="0.2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  <c r="AA505" s="1"/>
      <c r="AB505" s="1"/>
      <c r="AC505" s="1"/>
      <c r="AD505" s="1"/>
      <c r="AE505" s="1"/>
      <c r="AF505" s="1"/>
      <c r="AG505" s="1"/>
      <c r="AH505" s="1"/>
      <c r="AI505" s="1"/>
      <c r="AJ505" s="1"/>
      <c r="AK505" s="1"/>
      <c r="AL505" s="1"/>
      <c r="AM505" s="1"/>
      <c r="AN505" s="1"/>
      <c r="AO505" s="1"/>
      <c r="AP505" s="1"/>
      <c r="AQ505" s="1"/>
      <c r="AR505" s="1"/>
      <c r="AS505" s="1"/>
      <c r="AT505" s="1"/>
      <c r="AU505" s="1"/>
      <c r="AV505" s="1"/>
      <c r="AW505" s="1"/>
    </row>
    <row r="506" spans="1:49" x14ac:dyDescent="0.2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  <c r="AA506" s="1"/>
      <c r="AB506" s="1"/>
      <c r="AC506" s="1"/>
      <c r="AD506" s="1"/>
      <c r="AE506" s="1"/>
      <c r="AF506" s="1"/>
      <c r="AG506" s="1"/>
      <c r="AH506" s="1"/>
      <c r="AI506" s="1"/>
      <c r="AJ506" s="1"/>
      <c r="AK506" s="1"/>
      <c r="AL506" s="1"/>
      <c r="AM506" s="1"/>
      <c r="AN506" s="1"/>
      <c r="AO506" s="1"/>
      <c r="AP506" s="1"/>
      <c r="AQ506" s="1"/>
      <c r="AR506" s="1"/>
      <c r="AS506" s="1"/>
      <c r="AT506" s="1"/>
      <c r="AU506" s="1"/>
      <c r="AV506" s="1"/>
      <c r="AW506" s="1"/>
    </row>
    <row r="507" spans="1:49" x14ac:dyDescent="0.2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  <c r="AA507" s="1"/>
      <c r="AB507" s="1"/>
      <c r="AC507" s="1"/>
      <c r="AD507" s="1"/>
      <c r="AE507" s="1"/>
      <c r="AF507" s="1"/>
      <c r="AG507" s="1"/>
      <c r="AH507" s="1"/>
      <c r="AI507" s="1"/>
      <c r="AJ507" s="1"/>
      <c r="AK507" s="1"/>
      <c r="AL507" s="1"/>
      <c r="AM507" s="1"/>
      <c r="AN507" s="1"/>
      <c r="AO507" s="1"/>
      <c r="AP507" s="1"/>
      <c r="AQ507" s="1"/>
      <c r="AR507" s="1"/>
      <c r="AS507" s="1"/>
      <c r="AT507" s="1"/>
      <c r="AU507" s="1"/>
      <c r="AV507" s="1"/>
      <c r="AW507" s="1"/>
    </row>
    <row r="508" spans="1:49" x14ac:dyDescent="0.2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  <c r="AA508" s="1"/>
      <c r="AB508" s="1"/>
      <c r="AC508" s="1"/>
      <c r="AD508" s="1"/>
      <c r="AE508" s="1"/>
      <c r="AF508" s="1"/>
      <c r="AG508" s="1"/>
      <c r="AH508" s="1"/>
      <c r="AI508" s="1"/>
      <c r="AJ508" s="1"/>
      <c r="AK508" s="1"/>
      <c r="AL508" s="1"/>
      <c r="AM508" s="1"/>
      <c r="AN508" s="1"/>
      <c r="AO508" s="1"/>
      <c r="AP508" s="1"/>
      <c r="AQ508" s="1"/>
      <c r="AR508" s="1"/>
      <c r="AS508" s="1"/>
      <c r="AT508" s="1"/>
      <c r="AU508" s="1"/>
      <c r="AV508" s="1"/>
      <c r="AW508" s="1"/>
    </row>
    <row r="509" spans="1:49" x14ac:dyDescent="0.2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  <c r="AA509" s="1"/>
      <c r="AB509" s="1"/>
      <c r="AC509" s="1"/>
      <c r="AD509" s="1"/>
      <c r="AE509" s="1"/>
      <c r="AF509" s="1"/>
      <c r="AG509" s="1"/>
      <c r="AH509" s="1"/>
      <c r="AI509" s="1"/>
      <c r="AJ509" s="1"/>
      <c r="AK509" s="1"/>
      <c r="AL509" s="1"/>
      <c r="AM509" s="1"/>
      <c r="AN509" s="1"/>
      <c r="AO509" s="1"/>
      <c r="AP509" s="1"/>
      <c r="AQ509" s="1"/>
      <c r="AR509" s="1"/>
      <c r="AS509" s="1"/>
      <c r="AT509" s="1"/>
      <c r="AU509" s="1"/>
      <c r="AV509" s="1"/>
      <c r="AW509" s="1"/>
    </row>
    <row r="510" spans="1:49" x14ac:dyDescent="0.2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  <c r="AA510" s="1"/>
      <c r="AB510" s="1"/>
      <c r="AC510" s="1"/>
      <c r="AD510" s="1"/>
      <c r="AE510" s="1"/>
      <c r="AF510" s="1"/>
      <c r="AG510" s="1"/>
      <c r="AH510" s="1"/>
      <c r="AI510" s="1"/>
      <c r="AJ510" s="1"/>
      <c r="AK510" s="1"/>
      <c r="AL510" s="1"/>
      <c r="AM510" s="1"/>
      <c r="AN510" s="1"/>
      <c r="AO510" s="1"/>
      <c r="AP510" s="1"/>
      <c r="AQ510" s="1"/>
      <c r="AR510" s="1"/>
      <c r="AS510" s="1"/>
      <c r="AT510" s="1"/>
      <c r="AU510" s="1"/>
      <c r="AV510" s="1"/>
      <c r="AW510" s="1"/>
    </row>
    <row r="511" spans="1:49" x14ac:dyDescent="0.2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  <c r="AA511" s="1"/>
      <c r="AB511" s="1"/>
      <c r="AC511" s="1"/>
      <c r="AD511" s="1"/>
      <c r="AE511" s="1"/>
      <c r="AF511" s="1"/>
      <c r="AG511" s="1"/>
      <c r="AH511" s="1"/>
      <c r="AI511" s="1"/>
      <c r="AJ511" s="1"/>
      <c r="AK511" s="1"/>
      <c r="AL511" s="1"/>
      <c r="AM511" s="1"/>
      <c r="AN511" s="1"/>
      <c r="AO511" s="1"/>
      <c r="AP511" s="1"/>
      <c r="AQ511" s="1"/>
      <c r="AR511" s="1"/>
      <c r="AS511" s="1"/>
      <c r="AT511" s="1"/>
      <c r="AU511" s="1"/>
      <c r="AV511" s="1"/>
      <c r="AW511" s="1"/>
    </row>
    <row r="512" spans="1:49" x14ac:dyDescent="0.2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  <c r="AA512" s="1"/>
      <c r="AB512" s="1"/>
      <c r="AC512" s="1"/>
      <c r="AD512" s="1"/>
      <c r="AE512" s="1"/>
      <c r="AF512" s="1"/>
      <c r="AG512" s="1"/>
      <c r="AH512" s="1"/>
      <c r="AI512" s="1"/>
      <c r="AJ512" s="1"/>
      <c r="AK512" s="1"/>
      <c r="AL512" s="1"/>
      <c r="AM512" s="1"/>
      <c r="AN512" s="1"/>
      <c r="AO512" s="1"/>
      <c r="AP512" s="1"/>
      <c r="AQ512" s="1"/>
      <c r="AR512" s="1"/>
      <c r="AS512" s="1"/>
      <c r="AT512" s="1"/>
      <c r="AU512" s="1"/>
      <c r="AV512" s="1"/>
      <c r="AW512" s="1"/>
    </row>
    <row r="513" spans="1:49" x14ac:dyDescent="0.2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  <c r="AA513" s="1"/>
      <c r="AB513" s="1"/>
      <c r="AC513" s="1"/>
      <c r="AD513" s="1"/>
      <c r="AE513" s="1"/>
      <c r="AF513" s="1"/>
      <c r="AG513" s="1"/>
      <c r="AH513" s="1"/>
      <c r="AI513" s="1"/>
      <c r="AJ513" s="1"/>
      <c r="AK513" s="1"/>
      <c r="AL513" s="1"/>
      <c r="AM513" s="1"/>
      <c r="AN513" s="1"/>
      <c r="AO513" s="1"/>
      <c r="AP513" s="1"/>
      <c r="AQ513" s="1"/>
      <c r="AR513" s="1"/>
      <c r="AS513" s="1"/>
      <c r="AT513" s="1"/>
      <c r="AU513" s="1"/>
      <c r="AV513" s="1"/>
      <c r="AW513" s="1"/>
    </row>
    <row r="514" spans="1:49" x14ac:dyDescent="0.2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  <c r="AA514" s="1"/>
      <c r="AB514" s="1"/>
      <c r="AC514" s="1"/>
      <c r="AD514" s="1"/>
      <c r="AE514" s="1"/>
      <c r="AF514" s="1"/>
      <c r="AG514" s="1"/>
      <c r="AH514" s="1"/>
      <c r="AI514" s="1"/>
      <c r="AJ514" s="1"/>
      <c r="AK514" s="1"/>
      <c r="AL514" s="1"/>
      <c r="AM514" s="1"/>
      <c r="AN514" s="1"/>
      <c r="AO514" s="1"/>
      <c r="AP514" s="1"/>
      <c r="AQ514" s="1"/>
      <c r="AR514" s="1"/>
      <c r="AS514" s="1"/>
      <c r="AT514" s="1"/>
      <c r="AU514" s="1"/>
      <c r="AV514" s="1"/>
      <c r="AW514" s="1"/>
    </row>
    <row r="515" spans="1:49" x14ac:dyDescent="0.2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  <c r="AA515" s="1"/>
      <c r="AB515" s="1"/>
      <c r="AC515" s="1"/>
      <c r="AD515" s="1"/>
      <c r="AE515" s="1"/>
      <c r="AF515" s="1"/>
      <c r="AG515" s="1"/>
      <c r="AH515" s="1"/>
      <c r="AI515" s="1"/>
      <c r="AJ515" s="1"/>
      <c r="AK515" s="1"/>
      <c r="AL515" s="1"/>
      <c r="AM515" s="1"/>
      <c r="AN515" s="1"/>
      <c r="AO515" s="1"/>
      <c r="AP515" s="1"/>
      <c r="AQ515" s="1"/>
      <c r="AR515" s="1"/>
      <c r="AS515" s="1"/>
      <c r="AT515" s="1"/>
      <c r="AU515" s="1"/>
      <c r="AV515" s="1"/>
      <c r="AW515" s="1"/>
    </row>
    <row r="516" spans="1:49" x14ac:dyDescent="0.2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  <c r="AA516" s="1"/>
      <c r="AB516" s="1"/>
      <c r="AC516" s="1"/>
      <c r="AD516" s="1"/>
      <c r="AE516" s="1"/>
      <c r="AF516" s="1"/>
      <c r="AG516" s="1"/>
      <c r="AH516" s="1"/>
      <c r="AI516" s="1"/>
      <c r="AJ516" s="1"/>
      <c r="AK516" s="1"/>
      <c r="AL516" s="1"/>
      <c r="AM516" s="1"/>
      <c r="AN516" s="1"/>
      <c r="AO516" s="1"/>
      <c r="AP516" s="1"/>
      <c r="AQ516" s="1"/>
      <c r="AR516" s="1"/>
      <c r="AS516" s="1"/>
      <c r="AT516" s="1"/>
      <c r="AU516" s="1"/>
      <c r="AV516" s="1"/>
      <c r="AW516" s="1"/>
    </row>
    <row r="517" spans="1:49" x14ac:dyDescent="0.2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  <c r="AA517" s="1"/>
      <c r="AB517" s="1"/>
      <c r="AC517" s="1"/>
      <c r="AD517" s="1"/>
      <c r="AE517" s="1"/>
      <c r="AF517" s="1"/>
      <c r="AG517" s="1"/>
      <c r="AH517" s="1"/>
      <c r="AI517" s="1"/>
      <c r="AJ517" s="1"/>
      <c r="AK517" s="1"/>
      <c r="AL517" s="1"/>
      <c r="AM517" s="1"/>
      <c r="AN517" s="1"/>
      <c r="AO517" s="1"/>
      <c r="AP517" s="1"/>
      <c r="AQ517" s="1"/>
      <c r="AR517" s="1"/>
      <c r="AS517" s="1"/>
      <c r="AT517" s="1"/>
      <c r="AU517" s="1"/>
      <c r="AV517" s="1"/>
      <c r="AW517" s="1"/>
    </row>
    <row r="518" spans="1:49" x14ac:dyDescent="0.2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  <c r="AA518" s="1"/>
      <c r="AB518" s="1"/>
      <c r="AC518" s="1"/>
      <c r="AD518" s="1"/>
      <c r="AE518" s="1"/>
      <c r="AF518" s="1"/>
      <c r="AG518" s="1"/>
      <c r="AH518" s="1"/>
      <c r="AI518" s="1"/>
      <c r="AJ518" s="1"/>
      <c r="AK518" s="1"/>
      <c r="AL518" s="1"/>
      <c r="AM518" s="1"/>
      <c r="AN518" s="1"/>
      <c r="AO518" s="1"/>
      <c r="AP518" s="1"/>
      <c r="AQ518" s="1"/>
      <c r="AR518" s="1"/>
      <c r="AS518" s="1"/>
      <c r="AT518" s="1"/>
      <c r="AU518" s="1"/>
      <c r="AV518" s="1"/>
      <c r="AW518" s="1"/>
    </row>
    <row r="519" spans="1:49" x14ac:dyDescent="0.2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  <c r="AA519" s="1"/>
      <c r="AB519" s="1"/>
      <c r="AC519" s="1"/>
      <c r="AD519" s="1"/>
      <c r="AE519" s="1"/>
      <c r="AF519" s="1"/>
      <c r="AG519" s="1"/>
      <c r="AH519" s="1"/>
      <c r="AI519" s="1"/>
      <c r="AJ519" s="1"/>
      <c r="AK519" s="1"/>
      <c r="AL519" s="1"/>
      <c r="AM519" s="1"/>
      <c r="AN519" s="1"/>
      <c r="AO519" s="1"/>
      <c r="AP519" s="1"/>
      <c r="AQ519" s="1"/>
      <c r="AR519" s="1"/>
      <c r="AS519" s="1"/>
      <c r="AT519" s="1"/>
      <c r="AU519" s="1"/>
      <c r="AV519" s="1"/>
      <c r="AW519" s="1"/>
    </row>
    <row r="520" spans="1:49" x14ac:dyDescent="0.2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  <c r="AA520" s="1"/>
      <c r="AB520" s="1"/>
      <c r="AC520" s="1"/>
      <c r="AD520" s="1"/>
      <c r="AE520" s="1"/>
      <c r="AF520" s="1"/>
      <c r="AG520" s="1"/>
      <c r="AH520" s="1"/>
      <c r="AI520" s="1"/>
      <c r="AJ520" s="1"/>
      <c r="AK520" s="1"/>
      <c r="AL520" s="1"/>
      <c r="AM520" s="1"/>
      <c r="AN520" s="1"/>
      <c r="AO520" s="1"/>
      <c r="AP520" s="1"/>
      <c r="AQ520" s="1"/>
      <c r="AR520" s="1"/>
      <c r="AS520" s="1"/>
      <c r="AT520" s="1"/>
      <c r="AU520" s="1"/>
      <c r="AV520" s="1"/>
      <c r="AW520" s="1"/>
    </row>
    <row r="521" spans="1:49" x14ac:dyDescent="0.2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  <c r="AA521" s="1"/>
      <c r="AB521" s="1"/>
      <c r="AC521" s="1"/>
      <c r="AD521" s="1"/>
      <c r="AE521" s="1"/>
      <c r="AF521" s="1"/>
      <c r="AG521" s="1"/>
      <c r="AH521" s="1"/>
      <c r="AI521" s="1"/>
      <c r="AJ521" s="1"/>
      <c r="AK521" s="1"/>
      <c r="AL521" s="1"/>
      <c r="AM521" s="1"/>
      <c r="AN521" s="1"/>
      <c r="AO521" s="1"/>
      <c r="AP521" s="1"/>
      <c r="AQ521" s="1"/>
      <c r="AR521" s="1"/>
      <c r="AS521" s="1"/>
      <c r="AT521" s="1"/>
      <c r="AU521" s="1"/>
      <c r="AV521" s="1"/>
      <c r="AW521" s="1"/>
    </row>
    <row r="522" spans="1:49" x14ac:dyDescent="0.2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  <c r="AA522" s="1"/>
      <c r="AB522" s="1"/>
      <c r="AC522" s="1"/>
      <c r="AD522" s="1"/>
      <c r="AE522" s="1"/>
      <c r="AF522" s="1"/>
      <c r="AG522" s="1"/>
      <c r="AH522" s="1"/>
      <c r="AI522" s="1"/>
      <c r="AJ522" s="1"/>
      <c r="AK522" s="1"/>
      <c r="AL522" s="1"/>
      <c r="AM522" s="1"/>
      <c r="AN522" s="1"/>
      <c r="AO522" s="1"/>
      <c r="AP522" s="1"/>
      <c r="AQ522" s="1"/>
      <c r="AR522" s="1"/>
      <c r="AS522" s="1"/>
      <c r="AT522" s="1"/>
      <c r="AU522" s="1"/>
      <c r="AV522" s="1"/>
      <c r="AW522" s="1"/>
    </row>
    <row r="523" spans="1:49" x14ac:dyDescent="0.2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  <c r="AA523" s="1"/>
      <c r="AB523" s="1"/>
      <c r="AC523" s="1"/>
      <c r="AD523" s="1"/>
      <c r="AE523" s="1"/>
      <c r="AF523" s="1"/>
      <c r="AG523" s="1"/>
      <c r="AH523" s="1"/>
      <c r="AI523" s="1"/>
      <c r="AJ523" s="1"/>
      <c r="AK523" s="1"/>
      <c r="AL523" s="1"/>
      <c r="AM523" s="1"/>
      <c r="AN523" s="1"/>
      <c r="AO523" s="1"/>
      <c r="AP523" s="1"/>
      <c r="AQ523" s="1"/>
      <c r="AR523" s="1"/>
      <c r="AS523" s="1"/>
      <c r="AT523" s="1"/>
      <c r="AU523" s="1"/>
      <c r="AV523" s="1"/>
      <c r="AW523" s="1"/>
    </row>
    <row r="524" spans="1:49" x14ac:dyDescent="0.2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  <c r="AA524" s="1"/>
      <c r="AB524" s="1"/>
      <c r="AC524" s="1"/>
      <c r="AD524" s="1"/>
      <c r="AE524" s="1"/>
      <c r="AF524" s="1"/>
      <c r="AG524" s="1"/>
      <c r="AH524" s="1"/>
      <c r="AI524" s="1"/>
      <c r="AJ524" s="1"/>
      <c r="AK524" s="1"/>
      <c r="AL524" s="1"/>
      <c r="AM524" s="1"/>
      <c r="AN524" s="1"/>
      <c r="AO524" s="1"/>
      <c r="AP524" s="1"/>
      <c r="AQ524" s="1"/>
      <c r="AR524" s="1"/>
      <c r="AS524" s="1"/>
      <c r="AT524" s="1"/>
      <c r="AU524" s="1"/>
      <c r="AV524" s="1"/>
      <c r="AW524" s="1"/>
    </row>
    <row r="525" spans="1:49" x14ac:dyDescent="0.2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  <c r="AA525" s="1"/>
      <c r="AB525" s="1"/>
      <c r="AC525" s="1"/>
      <c r="AD525" s="1"/>
      <c r="AE525" s="1"/>
      <c r="AF525" s="1"/>
      <c r="AG525" s="1"/>
      <c r="AH525" s="1"/>
      <c r="AI525" s="1"/>
      <c r="AJ525" s="1"/>
      <c r="AK525" s="1"/>
      <c r="AL525" s="1"/>
      <c r="AM525" s="1"/>
      <c r="AN525" s="1"/>
      <c r="AO525" s="1"/>
      <c r="AP525" s="1"/>
      <c r="AQ525" s="1"/>
      <c r="AR525" s="1"/>
      <c r="AS525" s="1"/>
      <c r="AT525" s="1"/>
      <c r="AU525" s="1"/>
      <c r="AV525" s="1"/>
      <c r="AW525" s="1"/>
    </row>
    <row r="526" spans="1:49" x14ac:dyDescent="0.2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  <c r="AA526" s="1"/>
      <c r="AB526" s="1"/>
      <c r="AC526" s="1"/>
      <c r="AD526" s="1"/>
      <c r="AE526" s="1"/>
      <c r="AF526" s="1"/>
      <c r="AG526" s="1"/>
      <c r="AH526" s="1"/>
      <c r="AI526" s="1"/>
      <c r="AJ526" s="1"/>
      <c r="AK526" s="1"/>
      <c r="AL526" s="1"/>
      <c r="AM526" s="1"/>
      <c r="AN526" s="1"/>
      <c r="AO526" s="1"/>
      <c r="AP526" s="1"/>
      <c r="AQ526" s="1"/>
      <c r="AR526" s="1"/>
      <c r="AS526" s="1"/>
      <c r="AT526" s="1"/>
      <c r="AU526" s="1"/>
      <c r="AV526" s="1"/>
      <c r="AW526" s="1"/>
    </row>
    <row r="527" spans="1:49" x14ac:dyDescent="0.2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  <c r="AA527" s="1"/>
      <c r="AB527" s="1"/>
      <c r="AC527" s="1"/>
      <c r="AD527" s="1"/>
      <c r="AE527" s="1"/>
      <c r="AF527" s="1"/>
      <c r="AG527" s="1"/>
      <c r="AH527" s="1"/>
      <c r="AI527" s="1"/>
      <c r="AJ527" s="1"/>
      <c r="AK527" s="1"/>
      <c r="AL527" s="1"/>
      <c r="AM527" s="1"/>
      <c r="AN527" s="1"/>
      <c r="AO527" s="1"/>
      <c r="AP527" s="1"/>
      <c r="AQ527" s="1"/>
      <c r="AR527" s="1"/>
      <c r="AS527" s="1"/>
      <c r="AT527" s="1"/>
      <c r="AU527" s="1"/>
      <c r="AV527" s="1"/>
      <c r="AW527" s="1"/>
    </row>
    <row r="528" spans="1:49" x14ac:dyDescent="0.2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  <c r="AA528" s="1"/>
      <c r="AB528" s="1"/>
      <c r="AC528" s="1"/>
      <c r="AD528" s="1"/>
      <c r="AE528" s="1"/>
      <c r="AF528" s="1"/>
      <c r="AG528" s="1"/>
      <c r="AH528" s="1"/>
      <c r="AI528" s="1"/>
      <c r="AJ528" s="1"/>
      <c r="AK528" s="1"/>
      <c r="AL528" s="1"/>
      <c r="AM528" s="1"/>
      <c r="AN528" s="1"/>
      <c r="AO528" s="1"/>
      <c r="AP528" s="1"/>
      <c r="AQ528" s="1"/>
      <c r="AR528" s="1"/>
      <c r="AS528" s="1"/>
      <c r="AT528" s="1"/>
      <c r="AU528" s="1"/>
      <c r="AV528" s="1"/>
      <c r="AW528" s="1"/>
    </row>
    <row r="529" spans="1:49" x14ac:dyDescent="0.2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  <c r="AA529" s="1"/>
      <c r="AB529" s="1"/>
      <c r="AC529" s="1"/>
      <c r="AD529" s="1"/>
      <c r="AE529" s="1"/>
      <c r="AF529" s="1"/>
      <c r="AG529" s="1"/>
      <c r="AH529" s="1"/>
      <c r="AI529" s="1"/>
      <c r="AJ529" s="1"/>
      <c r="AK529" s="1"/>
      <c r="AL529" s="1"/>
      <c r="AM529" s="1"/>
      <c r="AN529" s="1"/>
      <c r="AO529" s="1"/>
      <c r="AP529" s="1"/>
      <c r="AQ529" s="1"/>
      <c r="AR529" s="1"/>
      <c r="AS529" s="1"/>
      <c r="AT529" s="1"/>
      <c r="AU529" s="1"/>
      <c r="AV529" s="1"/>
      <c r="AW529" s="1"/>
    </row>
    <row r="530" spans="1:49" x14ac:dyDescent="0.2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  <c r="AA530" s="1"/>
      <c r="AB530" s="1"/>
      <c r="AC530" s="1"/>
      <c r="AD530" s="1"/>
      <c r="AE530" s="1"/>
      <c r="AF530" s="1"/>
      <c r="AG530" s="1"/>
      <c r="AH530" s="1"/>
      <c r="AI530" s="1"/>
      <c r="AJ530" s="1"/>
      <c r="AK530" s="1"/>
      <c r="AL530" s="1"/>
      <c r="AM530" s="1"/>
      <c r="AN530" s="1"/>
      <c r="AO530" s="1"/>
      <c r="AP530" s="1"/>
      <c r="AQ530" s="1"/>
      <c r="AR530" s="1"/>
      <c r="AS530" s="1"/>
      <c r="AT530" s="1"/>
      <c r="AU530" s="1"/>
      <c r="AV530" s="1"/>
      <c r="AW530" s="1"/>
    </row>
    <row r="531" spans="1:49" x14ac:dyDescent="0.2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  <c r="AA531" s="1"/>
      <c r="AB531" s="1"/>
      <c r="AC531" s="1"/>
      <c r="AD531" s="1"/>
      <c r="AE531" s="1"/>
      <c r="AF531" s="1"/>
      <c r="AG531" s="1"/>
      <c r="AH531" s="1"/>
      <c r="AI531" s="1"/>
      <c r="AJ531" s="1"/>
      <c r="AK531" s="1"/>
      <c r="AL531" s="1"/>
      <c r="AM531" s="1"/>
      <c r="AN531" s="1"/>
      <c r="AO531" s="1"/>
      <c r="AP531" s="1"/>
      <c r="AQ531" s="1"/>
      <c r="AR531" s="1"/>
      <c r="AS531" s="1"/>
      <c r="AT531" s="1"/>
      <c r="AU531" s="1"/>
      <c r="AV531" s="1"/>
      <c r="AW531" s="1"/>
    </row>
    <row r="532" spans="1:49" x14ac:dyDescent="0.2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  <c r="AA532" s="1"/>
      <c r="AB532" s="1"/>
      <c r="AC532" s="1"/>
      <c r="AD532" s="1"/>
      <c r="AE532" s="1"/>
      <c r="AF532" s="1"/>
      <c r="AG532" s="1"/>
      <c r="AH532" s="1"/>
      <c r="AI532" s="1"/>
      <c r="AJ532" s="1"/>
      <c r="AK532" s="1"/>
      <c r="AL532" s="1"/>
      <c r="AM532" s="1"/>
      <c r="AN532" s="1"/>
      <c r="AO532" s="1"/>
      <c r="AP532" s="1"/>
      <c r="AQ532" s="1"/>
      <c r="AR532" s="1"/>
      <c r="AS532" s="1"/>
      <c r="AT532" s="1"/>
      <c r="AU532" s="1"/>
      <c r="AV532" s="1"/>
      <c r="AW532" s="1"/>
    </row>
    <row r="533" spans="1:49" x14ac:dyDescent="0.2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  <c r="AA533" s="1"/>
      <c r="AB533" s="1"/>
      <c r="AC533" s="1"/>
      <c r="AD533" s="1"/>
      <c r="AE533" s="1"/>
      <c r="AF533" s="1"/>
      <c r="AG533" s="1"/>
      <c r="AH533" s="1"/>
      <c r="AI533" s="1"/>
      <c r="AJ533" s="1"/>
      <c r="AK533" s="1"/>
      <c r="AL533" s="1"/>
      <c r="AM533" s="1"/>
      <c r="AN533" s="1"/>
      <c r="AO533" s="1"/>
      <c r="AP533" s="1"/>
      <c r="AQ533" s="1"/>
      <c r="AR533" s="1"/>
      <c r="AS533" s="1"/>
      <c r="AT533" s="1"/>
      <c r="AU533" s="1"/>
      <c r="AV533" s="1"/>
      <c r="AW533" s="1"/>
    </row>
    <row r="534" spans="1:49" x14ac:dyDescent="0.2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  <c r="AA534" s="1"/>
      <c r="AB534" s="1"/>
      <c r="AC534" s="1"/>
      <c r="AD534" s="1"/>
      <c r="AE534" s="1"/>
      <c r="AF534" s="1"/>
      <c r="AG534" s="1"/>
      <c r="AH534" s="1"/>
      <c r="AI534" s="1"/>
      <c r="AJ534" s="1"/>
      <c r="AK534" s="1"/>
      <c r="AL534" s="1"/>
      <c r="AM534" s="1"/>
      <c r="AN534" s="1"/>
      <c r="AO534" s="1"/>
      <c r="AP534" s="1"/>
      <c r="AQ534" s="1"/>
      <c r="AR534" s="1"/>
      <c r="AS534" s="1"/>
      <c r="AT534" s="1"/>
      <c r="AU534" s="1"/>
      <c r="AV534" s="1"/>
      <c r="AW534" s="1"/>
    </row>
    <row r="535" spans="1:49" x14ac:dyDescent="0.2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  <c r="AA535" s="1"/>
      <c r="AB535" s="1"/>
      <c r="AC535" s="1"/>
      <c r="AD535" s="1"/>
      <c r="AE535" s="1"/>
      <c r="AF535" s="1"/>
      <c r="AG535" s="1"/>
      <c r="AH535" s="1"/>
      <c r="AI535" s="1"/>
      <c r="AJ535" s="1"/>
      <c r="AK535" s="1"/>
      <c r="AL535" s="1"/>
      <c r="AM535" s="1"/>
      <c r="AN535" s="1"/>
      <c r="AO535" s="1"/>
      <c r="AP535" s="1"/>
      <c r="AQ535" s="1"/>
      <c r="AR535" s="1"/>
      <c r="AS535" s="1"/>
      <c r="AT535" s="1"/>
      <c r="AU535" s="1"/>
      <c r="AV535" s="1"/>
      <c r="AW535" s="1"/>
    </row>
    <row r="536" spans="1:49" x14ac:dyDescent="0.2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  <c r="AA536" s="1"/>
      <c r="AB536" s="1"/>
      <c r="AC536" s="1"/>
      <c r="AD536" s="1"/>
      <c r="AE536" s="1"/>
      <c r="AF536" s="1"/>
      <c r="AG536" s="1"/>
      <c r="AH536" s="1"/>
      <c r="AI536" s="1"/>
      <c r="AJ536" s="1"/>
      <c r="AK536" s="1"/>
      <c r="AL536" s="1"/>
      <c r="AM536" s="1"/>
      <c r="AN536" s="1"/>
      <c r="AO536" s="1"/>
      <c r="AP536" s="1"/>
      <c r="AQ536" s="1"/>
      <c r="AR536" s="1"/>
      <c r="AS536" s="1"/>
      <c r="AT536" s="1"/>
      <c r="AU536" s="1"/>
      <c r="AV536" s="1"/>
      <c r="AW536" s="1"/>
    </row>
    <row r="537" spans="1:49" x14ac:dyDescent="0.2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  <c r="AA537" s="1"/>
      <c r="AB537" s="1"/>
      <c r="AC537" s="1"/>
      <c r="AD537" s="1"/>
      <c r="AE537" s="1"/>
      <c r="AF537" s="1"/>
      <c r="AG537" s="1"/>
      <c r="AH537" s="1"/>
      <c r="AI537" s="1"/>
      <c r="AJ537" s="1"/>
      <c r="AK537" s="1"/>
      <c r="AL537" s="1"/>
      <c r="AM537" s="1"/>
      <c r="AN537" s="1"/>
      <c r="AO537" s="1"/>
      <c r="AP537" s="1"/>
      <c r="AQ537" s="1"/>
      <c r="AR537" s="1"/>
      <c r="AS537" s="1"/>
      <c r="AT537" s="1"/>
      <c r="AU537" s="1"/>
      <c r="AV537" s="1"/>
      <c r="AW537" s="1"/>
    </row>
    <row r="538" spans="1:49" x14ac:dyDescent="0.2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  <c r="AA538" s="1"/>
      <c r="AB538" s="1"/>
      <c r="AC538" s="1"/>
      <c r="AD538" s="1"/>
      <c r="AE538" s="1"/>
      <c r="AF538" s="1"/>
      <c r="AG538" s="1"/>
      <c r="AH538" s="1"/>
      <c r="AI538" s="1"/>
      <c r="AJ538" s="1"/>
      <c r="AK538" s="1"/>
      <c r="AL538" s="1"/>
      <c r="AM538" s="1"/>
      <c r="AN538" s="1"/>
      <c r="AO538" s="1"/>
      <c r="AP538" s="1"/>
      <c r="AQ538" s="1"/>
      <c r="AR538" s="1"/>
      <c r="AS538" s="1"/>
      <c r="AT538" s="1"/>
      <c r="AU538" s="1"/>
      <c r="AV538" s="1"/>
      <c r="AW538" s="1"/>
    </row>
    <row r="539" spans="1:49" x14ac:dyDescent="0.2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  <c r="AA539" s="1"/>
      <c r="AB539" s="1"/>
      <c r="AC539" s="1"/>
      <c r="AD539" s="1"/>
      <c r="AE539" s="1"/>
      <c r="AF539" s="1"/>
      <c r="AG539" s="1"/>
      <c r="AH539" s="1"/>
      <c r="AI539" s="1"/>
      <c r="AJ539" s="1"/>
      <c r="AK539" s="1"/>
      <c r="AL539" s="1"/>
      <c r="AM539" s="1"/>
      <c r="AN539" s="1"/>
      <c r="AO539" s="1"/>
      <c r="AP539" s="1"/>
      <c r="AQ539" s="1"/>
      <c r="AR539" s="1"/>
      <c r="AS539" s="1"/>
      <c r="AT539" s="1"/>
      <c r="AU539" s="1"/>
      <c r="AV539" s="1"/>
      <c r="AW539" s="1"/>
    </row>
    <row r="540" spans="1:49" x14ac:dyDescent="0.2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  <c r="AA540" s="1"/>
      <c r="AB540" s="1"/>
      <c r="AC540" s="1"/>
      <c r="AD540" s="1"/>
      <c r="AE540" s="1"/>
      <c r="AF540" s="1"/>
      <c r="AG540" s="1"/>
      <c r="AH540" s="1"/>
      <c r="AI540" s="1"/>
      <c r="AJ540" s="1"/>
      <c r="AK540" s="1"/>
      <c r="AL540" s="1"/>
      <c r="AM540" s="1"/>
      <c r="AN540" s="1"/>
      <c r="AO540" s="1"/>
      <c r="AP540" s="1"/>
      <c r="AQ540" s="1"/>
      <c r="AR540" s="1"/>
      <c r="AS540" s="1"/>
      <c r="AT540" s="1"/>
      <c r="AU540" s="1"/>
      <c r="AV540" s="1"/>
      <c r="AW540" s="1"/>
    </row>
    <row r="541" spans="1:49" x14ac:dyDescent="0.2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  <c r="AA541" s="1"/>
      <c r="AB541" s="1"/>
      <c r="AC541" s="1"/>
      <c r="AD541" s="1"/>
      <c r="AE541" s="1"/>
      <c r="AF541" s="1"/>
      <c r="AG541" s="1"/>
      <c r="AH541" s="1"/>
      <c r="AI541" s="1"/>
      <c r="AJ541" s="1"/>
      <c r="AK541" s="1"/>
      <c r="AL541" s="1"/>
      <c r="AM541" s="1"/>
      <c r="AN541" s="1"/>
      <c r="AO541" s="1"/>
      <c r="AP541" s="1"/>
      <c r="AQ541" s="1"/>
      <c r="AR541" s="1"/>
      <c r="AS541" s="1"/>
      <c r="AT541" s="1"/>
      <c r="AU541" s="1"/>
      <c r="AV541" s="1"/>
      <c r="AW541" s="1"/>
    </row>
    <row r="542" spans="1:49" x14ac:dyDescent="0.2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  <c r="AA542" s="1"/>
      <c r="AB542" s="1"/>
      <c r="AC542" s="1"/>
      <c r="AD542" s="1"/>
      <c r="AE542" s="1"/>
      <c r="AF542" s="1"/>
      <c r="AG542" s="1"/>
      <c r="AH542" s="1"/>
      <c r="AI542" s="1"/>
      <c r="AJ542" s="1"/>
      <c r="AK542" s="1"/>
      <c r="AL542" s="1"/>
      <c r="AM542" s="1"/>
      <c r="AN542" s="1"/>
      <c r="AO542" s="1"/>
      <c r="AP542" s="1"/>
      <c r="AQ542" s="1"/>
      <c r="AR542" s="1"/>
      <c r="AS542" s="1"/>
      <c r="AT542" s="1"/>
      <c r="AU542" s="1"/>
      <c r="AV542" s="1"/>
      <c r="AW542" s="1"/>
    </row>
    <row r="543" spans="1:49" x14ac:dyDescent="0.2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  <c r="AA543" s="1"/>
      <c r="AB543" s="1"/>
      <c r="AC543" s="1"/>
      <c r="AD543" s="1"/>
      <c r="AE543" s="1"/>
      <c r="AF543" s="1"/>
      <c r="AG543" s="1"/>
      <c r="AH543" s="1"/>
      <c r="AI543" s="1"/>
      <c r="AJ543" s="1"/>
      <c r="AK543" s="1"/>
      <c r="AL543" s="1"/>
      <c r="AM543" s="1"/>
      <c r="AN543" s="1"/>
      <c r="AO543" s="1"/>
      <c r="AP543" s="1"/>
      <c r="AQ543" s="1"/>
      <c r="AR543" s="1"/>
      <c r="AS543" s="1"/>
      <c r="AT543" s="1"/>
      <c r="AU543" s="1"/>
      <c r="AV543" s="1"/>
      <c r="AW543" s="1"/>
    </row>
    <row r="544" spans="1:49" x14ac:dyDescent="0.2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  <c r="AA544" s="1"/>
      <c r="AB544" s="1"/>
      <c r="AC544" s="1"/>
      <c r="AD544" s="1"/>
      <c r="AE544" s="1"/>
      <c r="AF544" s="1"/>
      <c r="AG544" s="1"/>
      <c r="AH544" s="1"/>
      <c r="AI544" s="1"/>
      <c r="AJ544" s="1"/>
      <c r="AK544" s="1"/>
      <c r="AL544" s="1"/>
      <c r="AM544" s="1"/>
      <c r="AN544" s="1"/>
      <c r="AO544" s="1"/>
      <c r="AP544" s="1"/>
      <c r="AQ544" s="1"/>
      <c r="AR544" s="1"/>
      <c r="AS544" s="1"/>
      <c r="AT544" s="1"/>
      <c r="AU544" s="1"/>
      <c r="AV544" s="1"/>
      <c r="AW544" s="1"/>
    </row>
    <row r="545" spans="1:49" x14ac:dyDescent="0.2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  <c r="AA545" s="1"/>
      <c r="AB545" s="1"/>
      <c r="AC545" s="1"/>
      <c r="AD545" s="1"/>
      <c r="AE545" s="1"/>
      <c r="AF545" s="1"/>
      <c r="AG545" s="1"/>
      <c r="AH545" s="1"/>
      <c r="AI545" s="1"/>
      <c r="AJ545" s="1"/>
      <c r="AK545" s="1"/>
      <c r="AL545" s="1"/>
      <c r="AM545" s="1"/>
      <c r="AN545" s="1"/>
      <c r="AO545" s="1"/>
      <c r="AP545" s="1"/>
      <c r="AQ545" s="1"/>
      <c r="AR545" s="1"/>
      <c r="AS545" s="1"/>
      <c r="AT545" s="1"/>
      <c r="AU545" s="1"/>
      <c r="AV545" s="1"/>
      <c r="AW545" s="1"/>
    </row>
    <row r="546" spans="1:49" x14ac:dyDescent="0.2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  <c r="AA546" s="1"/>
      <c r="AB546" s="1"/>
      <c r="AC546" s="1"/>
      <c r="AD546" s="1"/>
      <c r="AE546" s="1"/>
      <c r="AF546" s="1"/>
      <c r="AG546" s="1"/>
      <c r="AH546" s="1"/>
      <c r="AI546" s="1"/>
      <c r="AJ546" s="1"/>
      <c r="AK546" s="1"/>
      <c r="AL546" s="1"/>
      <c r="AM546" s="1"/>
      <c r="AN546" s="1"/>
      <c r="AO546" s="1"/>
      <c r="AP546" s="1"/>
      <c r="AQ546" s="1"/>
      <c r="AR546" s="1"/>
      <c r="AS546" s="1"/>
      <c r="AT546" s="1"/>
      <c r="AU546" s="1"/>
      <c r="AV546" s="1"/>
      <c r="AW546" s="1"/>
    </row>
    <row r="547" spans="1:49" x14ac:dyDescent="0.2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  <c r="AA547" s="1"/>
      <c r="AB547" s="1"/>
      <c r="AC547" s="1"/>
      <c r="AD547" s="1"/>
      <c r="AE547" s="1"/>
      <c r="AF547" s="1"/>
      <c r="AG547" s="1"/>
      <c r="AH547" s="1"/>
      <c r="AI547" s="1"/>
      <c r="AJ547" s="1"/>
      <c r="AK547" s="1"/>
      <c r="AL547" s="1"/>
      <c r="AM547" s="1"/>
      <c r="AN547" s="1"/>
      <c r="AO547" s="1"/>
      <c r="AP547" s="1"/>
      <c r="AQ547" s="1"/>
      <c r="AR547" s="1"/>
      <c r="AS547" s="1"/>
      <c r="AT547" s="1"/>
      <c r="AU547" s="1"/>
      <c r="AV547" s="1"/>
      <c r="AW547" s="1"/>
    </row>
    <row r="548" spans="1:49" x14ac:dyDescent="0.2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  <c r="AA548" s="1"/>
      <c r="AB548" s="1"/>
      <c r="AC548" s="1"/>
      <c r="AD548" s="1"/>
      <c r="AE548" s="1"/>
      <c r="AF548" s="1"/>
      <c r="AG548" s="1"/>
      <c r="AH548" s="1"/>
      <c r="AI548" s="1"/>
      <c r="AJ548" s="1"/>
      <c r="AK548" s="1"/>
      <c r="AL548" s="1"/>
      <c r="AM548" s="1"/>
      <c r="AN548" s="1"/>
      <c r="AO548" s="1"/>
      <c r="AP548" s="1"/>
      <c r="AQ548" s="1"/>
      <c r="AR548" s="1"/>
      <c r="AS548" s="1"/>
      <c r="AT548" s="1"/>
      <c r="AU548" s="1"/>
      <c r="AV548" s="1"/>
      <c r="AW548" s="1"/>
    </row>
    <row r="549" spans="1:49" x14ac:dyDescent="0.2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  <c r="AA549" s="1"/>
      <c r="AB549" s="1"/>
      <c r="AC549" s="1"/>
      <c r="AD549" s="1"/>
      <c r="AE549" s="1"/>
      <c r="AF549" s="1"/>
      <c r="AG549" s="1"/>
      <c r="AH549" s="1"/>
      <c r="AI549" s="1"/>
      <c r="AJ549" s="1"/>
      <c r="AK549" s="1"/>
      <c r="AL549" s="1"/>
      <c r="AM549" s="1"/>
      <c r="AN549" s="1"/>
      <c r="AO549" s="1"/>
      <c r="AP549" s="1"/>
      <c r="AQ549" s="1"/>
      <c r="AR549" s="1"/>
      <c r="AS549" s="1"/>
      <c r="AT549" s="1"/>
      <c r="AU549" s="1"/>
      <c r="AV549" s="1"/>
      <c r="AW549" s="1"/>
    </row>
    <row r="550" spans="1:49" x14ac:dyDescent="0.2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  <c r="AA550" s="1"/>
      <c r="AB550" s="1"/>
      <c r="AC550" s="1"/>
      <c r="AD550" s="1"/>
      <c r="AE550" s="1"/>
      <c r="AF550" s="1"/>
      <c r="AG550" s="1"/>
      <c r="AH550" s="1"/>
      <c r="AI550" s="1"/>
      <c r="AJ550" s="1"/>
      <c r="AK550" s="1"/>
      <c r="AL550" s="1"/>
      <c r="AM550" s="1"/>
      <c r="AN550" s="1"/>
      <c r="AO550" s="1"/>
      <c r="AP550" s="1"/>
      <c r="AQ550" s="1"/>
      <c r="AR550" s="1"/>
      <c r="AS550" s="1"/>
      <c r="AT550" s="1"/>
      <c r="AU550" s="1"/>
      <c r="AV550" s="1"/>
      <c r="AW550" s="1"/>
    </row>
    <row r="551" spans="1:49" x14ac:dyDescent="0.2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  <c r="AA551" s="1"/>
      <c r="AB551" s="1"/>
      <c r="AC551" s="1"/>
      <c r="AD551" s="1"/>
      <c r="AE551" s="1"/>
      <c r="AF551" s="1"/>
      <c r="AG551" s="1"/>
      <c r="AH551" s="1"/>
      <c r="AI551" s="1"/>
      <c r="AJ551" s="1"/>
      <c r="AK551" s="1"/>
      <c r="AL551" s="1"/>
      <c r="AM551" s="1"/>
      <c r="AN551" s="1"/>
      <c r="AO551" s="1"/>
      <c r="AP551" s="1"/>
      <c r="AQ551" s="1"/>
      <c r="AR551" s="1"/>
      <c r="AS551" s="1"/>
      <c r="AT551" s="1"/>
      <c r="AU551" s="1"/>
      <c r="AV551" s="1"/>
      <c r="AW551" s="1"/>
    </row>
    <row r="552" spans="1:49" x14ac:dyDescent="0.2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  <c r="AA552" s="1"/>
      <c r="AB552" s="1"/>
      <c r="AC552" s="1"/>
      <c r="AD552" s="1"/>
      <c r="AE552" s="1"/>
      <c r="AF552" s="1"/>
      <c r="AG552" s="1"/>
      <c r="AH552" s="1"/>
      <c r="AI552" s="1"/>
      <c r="AJ552" s="1"/>
      <c r="AK552" s="1"/>
      <c r="AL552" s="1"/>
      <c r="AM552" s="1"/>
      <c r="AN552" s="1"/>
      <c r="AO552" s="1"/>
      <c r="AP552" s="1"/>
      <c r="AQ552" s="1"/>
      <c r="AR552" s="1"/>
      <c r="AS552" s="1"/>
      <c r="AT552" s="1"/>
      <c r="AU552" s="1"/>
      <c r="AV552" s="1"/>
      <c r="AW552" s="1"/>
    </row>
    <row r="553" spans="1:49" x14ac:dyDescent="0.2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  <c r="AA553" s="1"/>
      <c r="AB553" s="1"/>
      <c r="AC553" s="1"/>
      <c r="AD553" s="1"/>
      <c r="AE553" s="1"/>
      <c r="AF553" s="1"/>
      <c r="AG553" s="1"/>
      <c r="AH553" s="1"/>
      <c r="AI553" s="1"/>
      <c r="AJ553" s="1"/>
      <c r="AK553" s="1"/>
      <c r="AL553" s="1"/>
      <c r="AM553" s="1"/>
      <c r="AN553" s="1"/>
      <c r="AO553" s="1"/>
      <c r="AP553" s="1"/>
      <c r="AQ553" s="1"/>
      <c r="AR553" s="1"/>
      <c r="AS553" s="1"/>
      <c r="AT553" s="1"/>
      <c r="AU553" s="1"/>
      <c r="AV553" s="1"/>
      <c r="AW553" s="1"/>
    </row>
    <row r="554" spans="1:49" x14ac:dyDescent="0.2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  <c r="AA554" s="1"/>
      <c r="AB554" s="1"/>
      <c r="AC554" s="1"/>
      <c r="AD554" s="1"/>
      <c r="AE554" s="1"/>
      <c r="AF554" s="1"/>
      <c r="AG554" s="1"/>
      <c r="AH554" s="1"/>
      <c r="AI554" s="1"/>
      <c r="AJ554" s="1"/>
      <c r="AK554" s="1"/>
      <c r="AL554" s="1"/>
      <c r="AM554" s="1"/>
      <c r="AN554" s="1"/>
      <c r="AO554" s="1"/>
      <c r="AP554" s="1"/>
      <c r="AQ554" s="1"/>
      <c r="AR554" s="1"/>
      <c r="AS554" s="1"/>
      <c r="AT554" s="1"/>
      <c r="AU554" s="1"/>
      <c r="AV554" s="1"/>
      <c r="AW554" s="1"/>
    </row>
    <row r="555" spans="1:49" x14ac:dyDescent="0.2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  <c r="AA555" s="1"/>
      <c r="AB555" s="1"/>
      <c r="AC555" s="1"/>
      <c r="AD555" s="1"/>
      <c r="AE555" s="1"/>
      <c r="AF555" s="1"/>
      <c r="AG555" s="1"/>
      <c r="AH555" s="1"/>
      <c r="AI555" s="1"/>
      <c r="AJ555" s="1"/>
      <c r="AK555" s="1"/>
      <c r="AL555" s="1"/>
      <c r="AM555" s="1"/>
      <c r="AN555" s="1"/>
      <c r="AO555" s="1"/>
      <c r="AP555" s="1"/>
      <c r="AQ555" s="1"/>
      <c r="AR555" s="1"/>
      <c r="AS555" s="1"/>
      <c r="AT555" s="1"/>
      <c r="AU555" s="1"/>
      <c r="AV555" s="1"/>
      <c r="AW555" s="1"/>
    </row>
    <row r="556" spans="1:49" x14ac:dyDescent="0.2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  <c r="AA556" s="1"/>
      <c r="AB556" s="1"/>
      <c r="AC556" s="1"/>
      <c r="AD556" s="1"/>
      <c r="AE556" s="1"/>
      <c r="AF556" s="1"/>
      <c r="AG556" s="1"/>
      <c r="AH556" s="1"/>
      <c r="AI556" s="1"/>
      <c r="AJ556" s="1"/>
      <c r="AK556" s="1"/>
      <c r="AL556" s="1"/>
      <c r="AM556" s="1"/>
      <c r="AN556" s="1"/>
      <c r="AO556" s="1"/>
      <c r="AP556" s="1"/>
      <c r="AQ556" s="1"/>
      <c r="AR556" s="1"/>
      <c r="AS556" s="1"/>
      <c r="AT556" s="1"/>
      <c r="AU556" s="1"/>
      <c r="AV556" s="1"/>
      <c r="AW556" s="1"/>
    </row>
    <row r="557" spans="1:49" x14ac:dyDescent="0.2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  <c r="AA557" s="1"/>
      <c r="AB557" s="1"/>
      <c r="AC557" s="1"/>
      <c r="AD557" s="1"/>
      <c r="AE557" s="1"/>
      <c r="AF557" s="1"/>
      <c r="AG557" s="1"/>
      <c r="AH557" s="1"/>
      <c r="AI557" s="1"/>
      <c r="AJ557" s="1"/>
      <c r="AK557" s="1"/>
      <c r="AL557" s="1"/>
      <c r="AM557" s="1"/>
      <c r="AN557" s="1"/>
      <c r="AO557" s="1"/>
      <c r="AP557" s="1"/>
      <c r="AQ557" s="1"/>
      <c r="AR557" s="1"/>
      <c r="AS557" s="1"/>
      <c r="AT557" s="1"/>
      <c r="AU557" s="1"/>
      <c r="AV557" s="1"/>
      <c r="AW557" s="1"/>
    </row>
  </sheetData>
  <hyperlinks>
    <hyperlink ref="P7" r:id="rId1"/>
    <hyperlink ref="P6" r:id="rId2" display="Newtonexcelbach"/>
  </hyperlinks>
  <pageMargins left="0.7" right="0.7" top="0.75" bottom="0.75" header="0.3" footer="0.3"/>
  <pageSetup paperSize="9" orientation="portrait" verticalDpi="0" r:id="rId3"/>
  <drawing r:id="rId4"/>
  <legacyDrawing r:id="rId5"/>
  <controls>
    <mc:AlternateContent xmlns:mc="http://schemas.openxmlformats.org/markup-compatibility/2006">
      <mc:Choice Requires="x14">
        <control shapeId="1056" r:id="rId6" name="ScrollBar3">
          <controlPr defaultSize="0" autoLine="0" linkedCell="N13" r:id="rId7">
            <anchor moveWithCells="1" sizeWithCells="1">
              <from>
                <xdr:col>14</xdr:col>
                <xdr:colOff>38100</xdr:colOff>
                <xdr:row>12</xdr:row>
                <xdr:rowOff>9525</xdr:rowOff>
              </from>
              <to>
                <xdr:col>16</xdr:col>
                <xdr:colOff>428625</xdr:colOff>
                <xdr:row>12</xdr:row>
                <xdr:rowOff>342900</xdr:rowOff>
              </to>
            </anchor>
          </controlPr>
        </control>
      </mc:Choice>
      <mc:Fallback>
        <control shapeId="1056" r:id="rId6" name="ScrollBar3"/>
      </mc:Fallback>
    </mc:AlternateContent>
    <mc:AlternateContent xmlns:mc="http://schemas.openxmlformats.org/markup-compatibility/2006">
      <mc:Choice Requires="x14">
        <control shapeId="1055" r:id="rId8" name="ScrollBar2">
          <controlPr defaultSize="0" autoLine="0" linkedCell="N12" r:id="rId7">
            <anchor moveWithCells="1" sizeWithCells="1">
              <from>
                <xdr:col>14</xdr:col>
                <xdr:colOff>28575</xdr:colOff>
                <xdr:row>11</xdr:row>
                <xdr:rowOff>9525</xdr:rowOff>
              </from>
              <to>
                <xdr:col>16</xdr:col>
                <xdr:colOff>419100</xdr:colOff>
                <xdr:row>11</xdr:row>
                <xdr:rowOff>342900</xdr:rowOff>
              </to>
            </anchor>
          </controlPr>
        </control>
      </mc:Choice>
      <mc:Fallback>
        <control shapeId="1055" r:id="rId8" name="ScrollBar2"/>
      </mc:Fallback>
    </mc:AlternateContent>
    <mc:AlternateContent xmlns:mc="http://schemas.openxmlformats.org/markup-compatibility/2006">
      <mc:Choice Requires="x14">
        <control shapeId="1054" r:id="rId9" name="ScrollBar4">
          <controlPr defaultSize="0" autoLine="0" linkedCell="N11" r:id="rId7">
            <anchor moveWithCells="1" sizeWithCells="1">
              <from>
                <xdr:col>14</xdr:col>
                <xdr:colOff>28575</xdr:colOff>
                <xdr:row>10</xdr:row>
                <xdr:rowOff>9525</xdr:rowOff>
              </from>
              <to>
                <xdr:col>16</xdr:col>
                <xdr:colOff>419100</xdr:colOff>
                <xdr:row>10</xdr:row>
                <xdr:rowOff>342900</xdr:rowOff>
              </to>
            </anchor>
          </controlPr>
        </control>
      </mc:Choice>
      <mc:Fallback>
        <control shapeId="1054" r:id="rId9" name="ScrollBar4"/>
      </mc:Fallback>
    </mc:AlternateContent>
    <mc:AlternateContent xmlns:mc="http://schemas.openxmlformats.org/markup-compatibility/2006">
      <mc:Choice Requires="x14">
        <control shapeId="1027" r:id="rId10" name="ScrollBar1">
          <controlPr defaultSize="0" autoFill="0" autoLine="0" linkedCell="AB5" r:id="rId11">
            <anchor moveWithCells="1">
              <from>
                <xdr:col>12</xdr:col>
                <xdr:colOff>28575</xdr:colOff>
                <xdr:row>19</xdr:row>
                <xdr:rowOff>85725</xdr:rowOff>
              </from>
              <to>
                <xdr:col>18</xdr:col>
                <xdr:colOff>200025</xdr:colOff>
                <xdr:row>20</xdr:row>
                <xdr:rowOff>123825</xdr:rowOff>
              </to>
            </anchor>
          </controlPr>
        </control>
      </mc:Choice>
      <mc:Fallback>
        <control shapeId="1027" r:id="rId10" name="ScrollBar1"/>
      </mc:Fallback>
    </mc:AlternateContent>
    <mc:AlternateContent xmlns:mc="http://schemas.openxmlformats.org/markup-compatibility/2006">
      <mc:Choice Requires="x14">
        <control shapeId="1040" r:id="rId12" name="Option Button 16">
          <controlPr defaultSize="0" autoFill="0" autoLine="0" autoPict="0" macro="[0]!SetWires">
            <anchor moveWithCells="1" sizeWithCells="1">
              <from>
                <xdr:col>12</xdr:col>
                <xdr:colOff>85725</xdr:colOff>
                <xdr:row>30</xdr:row>
                <xdr:rowOff>133350</xdr:rowOff>
              </from>
              <to>
                <xdr:col>14</xdr:col>
                <xdr:colOff>104775</xdr:colOff>
                <xdr:row>32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1" r:id="rId13" name="Option Button 17">
          <controlPr defaultSize="0" autoFill="0" autoLine="0" autoPict="0" macro="[0]!SetWires">
            <anchor moveWithCells="1" sizeWithCells="1">
              <from>
                <xdr:col>12</xdr:col>
                <xdr:colOff>85725</xdr:colOff>
                <xdr:row>32</xdr:row>
                <xdr:rowOff>47625</xdr:rowOff>
              </from>
              <to>
                <xdr:col>14</xdr:col>
                <xdr:colOff>104775</xdr:colOff>
                <xdr:row>33</xdr:row>
                <xdr:rowOff>142875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2" r:id="rId14" name="Option Button 18">
          <controlPr defaultSize="0" autoFill="0" autoLine="0" autoPict="0" macro="[0]!SetWires">
            <anchor moveWithCells="1" sizeWithCells="1">
              <from>
                <xdr:col>12</xdr:col>
                <xdr:colOff>85725</xdr:colOff>
                <xdr:row>33</xdr:row>
                <xdr:rowOff>123825</xdr:rowOff>
              </from>
              <to>
                <xdr:col>14</xdr:col>
                <xdr:colOff>104775</xdr:colOff>
                <xdr:row>35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3" r:id="rId15" name="Group Box 19">
          <controlPr defaultSize="0" autoFill="0" autoPict="0">
            <anchor moveWithCells="1" sizeWithCells="1">
              <from>
                <xdr:col>12</xdr:col>
                <xdr:colOff>66675</xdr:colOff>
                <xdr:row>30</xdr:row>
                <xdr:rowOff>38100</xdr:rowOff>
              </from>
              <to>
                <xdr:col>14</xdr:col>
                <xdr:colOff>123825</xdr:colOff>
                <xdr:row>35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16" name="Group Box 9">
          <controlPr defaultSize="0" autoFill="0" autoPict="0">
            <anchor moveWithCells="1" sizeWithCells="1">
              <from>
                <xdr:col>12</xdr:col>
                <xdr:colOff>66675</xdr:colOff>
                <xdr:row>24</xdr:row>
                <xdr:rowOff>28575</xdr:rowOff>
              </from>
              <to>
                <xdr:col>14</xdr:col>
                <xdr:colOff>133350</xdr:colOff>
                <xdr:row>29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0" r:id="rId17" name="Option Button 26">
          <controlPr defaultSize="0" autoFill="0" autoLine="0" autoPict="0" macro="[0]!Set_Pendulum_Colors">
            <anchor moveWithCells="1" sizeWithCells="1">
              <from>
                <xdr:col>12</xdr:col>
                <xdr:colOff>104775</xdr:colOff>
                <xdr:row>24</xdr:row>
                <xdr:rowOff>76200</xdr:rowOff>
              </from>
              <to>
                <xdr:col>14</xdr:col>
                <xdr:colOff>123825</xdr:colOff>
                <xdr:row>25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1" r:id="rId18" name="Option Button 27">
          <controlPr defaultSize="0" autoFill="0" autoLine="0" autoPict="0" macro="[0]!Set_Pendulum_Colors">
            <anchor moveWithCells="1" sizeWithCells="1">
              <from>
                <xdr:col>12</xdr:col>
                <xdr:colOff>104775</xdr:colOff>
                <xdr:row>25</xdr:row>
                <xdr:rowOff>95250</xdr:rowOff>
              </from>
              <to>
                <xdr:col>14</xdr:col>
                <xdr:colOff>123825</xdr:colOff>
                <xdr:row>26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2" r:id="rId19" name="Option Button 28">
          <controlPr defaultSize="0" autoFill="0" autoLine="0" autoPict="0" macro="[0]!Set_Pendulum_Colors">
            <anchor moveWithCells="1" sizeWithCells="1">
              <from>
                <xdr:col>12</xdr:col>
                <xdr:colOff>104775</xdr:colOff>
                <xdr:row>26</xdr:row>
                <xdr:rowOff>114300</xdr:rowOff>
              </from>
              <to>
                <xdr:col>14</xdr:col>
                <xdr:colOff>123825</xdr:colOff>
                <xdr:row>27</xdr:row>
                <xdr:rowOff>133350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3" r:id="rId20" name="Option Button 29">
          <controlPr defaultSize="0" autoFill="0" autoLine="0" autoPict="0" macro="[0]!Set_Pendulum_Colors">
            <anchor moveWithCells="1" sizeWithCells="1">
              <from>
                <xdr:col>12</xdr:col>
                <xdr:colOff>104775</xdr:colOff>
                <xdr:row>27</xdr:row>
                <xdr:rowOff>133350</xdr:rowOff>
              </from>
              <to>
                <xdr:col>14</xdr:col>
                <xdr:colOff>123825</xdr:colOff>
                <xdr:row>28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5" r:id="rId21" name="Group Box 41">
          <controlPr defaultSize="0" autoFill="0" autoPict="0">
            <anchor moveWithCells="1" sizeWithCells="1">
              <from>
                <xdr:col>14</xdr:col>
                <xdr:colOff>352425</xdr:colOff>
                <xdr:row>24</xdr:row>
                <xdr:rowOff>28575</xdr:rowOff>
              </from>
              <to>
                <xdr:col>17</xdr:col>
                <xdr:colOff>95250</xdr:colOff>
                <xdr:row>28</xdr:row>
                <xdr:rowOff>123825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2" r:id="rId22" name="Check Box 38">
          <controlPr defaultSize="0" autoFill="0" autoLine="0" autoPict="0" macro="[0]!Show_Struct">
            <anchor moveWithCells="1" sizeWithCells="1">
              <from>
                <xdr:col>15</xdr:col>
                <xdr:colOff>9525</xdr:colOff>
                <xdr:row>25</xdr:row>
                <xdr:rowOff>47625</xdr:rowOff>
              </from>
              <to>
                <xdr:col>16</xdr:col>
                <xdr:colOff>304800</xdr:colOff>
                <xdr:row>26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3" r:id="rId23" name="Check Box 39">
          <controlPr defaultSize="0" autoFill="0" autoLine="0" autoPict="0" macro="[0]!Show_Struct">
            <anchor moveWithCells="1" sizeWithCells="1">
              <from>
                <xdr:col>15</xdr:col>
                <xdr:colOff>9525</xdr:colOff>
                <xdr:row>27</xdr:row>
                <xdr:rowOff>38100</xdr:rowOff>
              </from>
              <to>
                <xdr:col>16</xdr:col>
                <xdr:colOff>304800</xdr:colOff>
                <xdr:row>28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" r:id="rId24" name="Check Box 42">
          <controlPr defaultSize="0" autoFill="0" autoLine="0" autoPict="0">
            <anchor moveWithCells="1">
              <from>
                <xdr:col>14</xdr:col>
                <xdr:colOff>438150</xdr:colOff>
                <xdr:row>30</xdr:row>
                <xdr:rowOff>104775</xdr:rowOff>
              </from>
              <to>
                <xdr:col>18</xdr:col>
                <xdr:colOff>219075</xdr:colOff>
                <xdr:row>32</xdr:row>
                <xdr:rowOff>28575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27</vt:i4>
      </vt:variant>
    </vt:vector>
  </HeadingPairs>
  <TitlesOfParts>
    <vt:vector size="28" baseType="lpstr">
      <vt:lpstr>1</vt:lpstr>
      <vt:lpstr>g</vt:lpstr>
      <vt:lpstr>Grid</vt:lpstr>
      <vt:lpstr>p10Len</vt:lpstr>
      <vt:lpstr>p11Len</vt:lpstr>
      <vt:lpstr>p12Len</vt:lpstr>
      <vt:lpstr>p13Len</vt:lpstr>
      <vt:lpstr>p14Len</vt:lpstr>
      <vt:lpstr>p15Len</vt:lpstr>
      <vt:lpstr>p16Len</vt:lpstr>
      <vt:lpstr>p1Len</vt:lpstr>
      <vt:lpstr>p2Len</vt:lpstr>
      <vt:lpstr>p3Len</vt:lpstr>
      <vt:lpstr>p4Len</vt:lpstr>
      <vt:lpstr>p5Len</vt:lpstr>
      <vt:lpstr>p6Len</vt:lpstr>
      <vt:lpstr>p7Len</vt:lpstr>
      <vt:lpstr>p8Len</vt:lpstr>
      <vt:lpstr>p9Len</vt:lpstr>
      <vt:lpstr>QQ</vt:lpstr>
      <vt:lpstr>ShowAxis</vt:lpstr>
      <vt:lpstr>ShowCage</vt:lpstr>
      <vt:lpstr>Spacing</vt:lpstr>
      <vt:lpstr>tinc</vt:lpstr>
      <vt:lpstr>XAngle</vt:lpstr>
      <vt:lpstr>YAngle</vt:lpstr>
      <vt:lpstr>YRot</vt:lpstr>
      <vt:lpstr>ZAngle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Ian Huitson</dc:creator>
  <cp:lastModifiedBy>Hui</cp:lastModifiedBy>
  <cp:lastPrinted>2011-06-02T00:46:54Z</cp:lastPrinted>
  <dcterms:created xsi:type="dcterms:W3CDTF">2011-05-31T00:44:18Z</dcterms:created>
  <dcterms:modified xsi:type="dcterms:W3CDTF">2011-07-07T09:20:25Z</dcterms:modified>
</cp:coreProperties>
</file>