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995" yWindow="60" windowWidth="20190" windowHeight="11055"/>
  </bookViews>
  <sheets>
    <sheet name="1" sheetId="1" r:id="rId1"/>
  </sheets>
  <definedNames>
    <definedName name="g">'1'!$V$13</definedName>
    <definedName name="OMax">'1'!$V$12*PI()/180</definedName>
    <definedName name="p10Len">'1'!$B$28</definedName>
    <definedName name="p10tz">(9)*Spacing*{1;1}</definedName>
    <definedName name="p10x">p10Len*SIN(OMax*SIN(SQRT(g/p10Len)*t))*{0;1}</definedName>
    <definedName name="p10y">-p10Len*COS(OMax*SIN(SQRT(g/p10Len)*t))*{0;1}</definedName>
    <definedName name="p11Len">'1'!$B$29</definedName>
    <definedName name="p11tz">(10)*Spacing*{1;1}</definedName>
    <definedName name="p11x">p11Len*SIN(OMax*SIN(SQRT(g/p11Len)*t))*{0;1}</definedName>
    <definedName name="p11y">-p11Len*COS(OMax*SIN(SQRT(g/p11Len)*t))*{0;1}</definedName>
    <definedName name="p12Len">'1'!$B$30</definedName>
    <definedName name="p12tz">(11)*Spacing*{1;1}</definedName>
    <definedName name="p12x">p12Len*SIN(OMax*SIN(SQRT(g/p12Len)*t))*{0;1}</definedName>
    <definedName name="p12y">-p12Len*COS(OMax*SIN(SQRT(g/p12Len)*t))*{0;1}</definedName>
    <definedName name="p13Len">'1'!$B$31</definedName>
    <definedName name="p13tz">(12)*Spacing*{1;1}</definedName>
    <definedName name="p13x">p13Len*SIN(OMax*SIN(SQRT(g/p13Len)*t))*{0;1}</definedName>
    <definedName name="p13y">-p13Len*COS(OMax*SIN(SQRT(g/p13Len)*t))*{0;1}</definedName>
    <definedName name="p14Len">'1'!$B$32</definedName>
    <definedName name="p14tz">(13)*Spacing*{1;1}</definedName>
    <definedName name="p14x">p14Len*SIN(OMax*SIN(SQRT(g/p14Len)*t))*{0;1}</definedName>
    <definedName name="p14y">-p14Len*COS(OMax*SIN(SQRT(g/p14Len)*t))*{0;1}</definedName>
    <definedName name="p15Len">'1'!$B$33</definedName>
    <definedName name="p15tz">(14)*Spacing*{1;1}</definedName>
    <definedName name="p15x">p15Len*SIN(OMax*SIN(SQRT(g/p15Len)*t))*{0;1}</definedName>
    <definedName name="p15y">-p15Len*COS(OMax*SIN(SQRT(g/p15Len)*t))*{0;1}</definedName>
    <definedName name="p16Len">'1'!$B$34</definedName>
    <definedName name="p16tz">(15)*Spacing*{1;1}</definedName>
    <definedName name="p16x">p16Len*SIN(OMax*SIN(SQRT(g/p16Len)*t))*{0;1}</definedName>
    <definedName name="p16y">-p16Len*COS(OMax*SIN(SQRT(g/p16Len)*t))*{0;1}</definedName>
    <definedName name="p17tz">(16)*Spacing*{1;1}</definedName>
    <definedName name="p1Len">'1'!$B$19</definedName>
    <definedName name="p1tz">(0)*Spacing*{1;1}</definedName>
    <definedName name="p1x">p1Len*SIN(OMax*SIN(SQRT(g/p1Len)*t))*{0;1}</definedName>
    <definedName name="p1y">-p1Len*COS(OMax*SIN(SQRT(g/p1Len)*t))*{0;1}</definedName>
    <definedName name="p2Len">'1'!$B$20</definedName>
    <definedName name="p2tz">(1)*Spacing*{1;1}</definedName>
    <definedName name="p2x">p2Len*SIN(OMax*SIN(SQRT(g/p2Len)*t))*{0;1}</definedName>
    <definedName name="p2y">-p2Len*COS(OMax*SIN(SQRT(g/p2Len)*t))*{0;1}</definedName>
    <definedName name="p3Len">'1'!$B$21</definedName>
    <definedName name="p3tz">(2)*Spacing*{1;1}</definedName>
    <definedName name="p3x">p3Len*SIN(OMax*SIN(SQRT(g/p3Len)*t))*{0;1}</definedName>
    <definedName name="p3y">-p3Len*COS(OMax*SIN(SQRT(g/p3Len)*t))*{0;1}</definedName>
    <definedName name="p4Len">'1'!$B$22</definedName>
    <definedName name="p4tz">(3)*Spacing*{1;1}</definedName>
    <definedName name="p4x">p4Len*SIN(OMax*SIN(SQRT(g/p4Len)*t))*{0;1}</definedName>
    <definedName name="p4y">-p4Len*COS(OMax*SIN(SQRT(g/p4Len)*t))*{0;1}</definedName>
    <definedName name="p5Len">'1'!$B$23</definedName>
    <definedName name="p5tz">(4)*Spacing*{1;1}</definedName>
    <definedName name="p5x">p5Len*SIN(OMax*SIN(SQRT(g/p5Len)*t))*{0;1}</definedName>
    <definedName name="p5y">-p5Len*COS(OMax*SIN(SQRT(g/p5Len)*t))*{0;1}</definedName>
    <definedName name="p6Len">'1'!$B$24</definedName>
    <definedName name="p6tz">(5)*Spacing*{1;1}</definedName>
    <definedName name="p6x">p6Len*SIN(OMax*SIN(SQRT(g/p6Len)*t))*{0;1}</definedName>
    <definedName name="p6y">-p6Len*COS(OMax*SIN(SQRT(g/p6Len)*t))*{0;1}</definedName>
    <definedName name="p7Len">'1'!$B$25</definedName>
    <definedName name="p7tz">(6)*Spacing*{1;1}</definedName>
    <definedName name="p7x">p7Len*SIN(OMax*SIN(SQRT(g/p7Len)*t))*{0;1}</definedName>
    <definedName name="p7y">-p7Len*COS(OMax*SIN(SQRT(g/p7Len)*t))*{0;1}</definedName>
    <definedName name="p8Len">'1'!$B$26</definedName>
    <definedName name="p8tz">(7)*Spacing*{1;1}</definedName>
    <definedName name="p8x">p8Len*SIN(OMax*SIN(SQRT(g/p8Len)*t))*{0;1}</definedName>
    <definedName name="p8y">-p8Len*COS(OMax*SIN(SQRT(g/p8Len)*t))*{0;1}</definedName>
    <definedName name="p9Len">'1'!$B$27</definedName>
    <definedName name="p9tz">(8)*Spacing*{1;1}</definedName>
    <definedName name="p9x">p9Len*SIN(OMax*SIN(SQRT(g/p9Len)*t))*{0;1}</definedName>
    <definedName name="p9y">-p9Len*COS(OMax*SIN(SQRT(g/p9Len)*t))*{0;1}</definedName>
    <definedName name="Spacing">'1'!$V$14</definedName>
    <definedName name="Start">-p1Len*COS(OMax)</definedName>
    <definedName name="t">68.7000000000035</definedName>
    <definedName name="tinc">'1'!$V$11</definedName>
  </definedNames>
  <calcPr calcId="144525"/>
</workbook>
</file>

<file path=xl/calcChain.xml><?xml version="1.0" encoding="utf-8"?>
<calcChain xmlns="http://schemas.openxmlformats.org/spreadsheetml/2006/main">
  <c r="V13" i="1" l="1"/>
  <c r="C21" i="1" l="1"/>
  <c r="C22" i="1" s="1"/>
  <c r="B20" i="1"/>
  <c r="B21" i="1" l="1"/>
  <c r="C23" i="1"/>
  <c r="B22" i="1"/>
  <c r="C24" i="1" l="1"/>
  <c r="B23" i="1"/>
  <c r="C25" i="1" l="1"/>
  <c r="B24" i="1"/>
  <c r="C26" i="1" l="1"/>
  <c r="B25" i="1"/>
  <c r="B26" i="1" l="1"/>
  <c r="C27" i="1"/>
  <c r="C28" i="1" l="1"/>
  <c r="B27" i="1"/>
  <c r="B28" i="1" l="1"/>
  <c r="C29" i="1"/>
  <c r="C30" i="1" l="1"/>
  <c r="B29" i="1"/>
  <c r="B30" i="1" l="1"/>
  <c r="C31" i="1"/>
  <c r="C32" i="1" l="1"/>
  <c r="B31" i="1"/>
  <c r="B32" i="1" l="1"/>
  <c r="C33" i="1"/>
  <c r="C34" i="1" l="1"/>
  <c r="B33" i="1"/>
  <c r="B34" i="1" l="1"/>
</calcChain>
</file>

<file path=xl/comments1.xml><?xml version="1.0" encoding="utf-8"?>
<comments xmlns="http://schemas.openxmlformats.org/spreadsheetml/2006/main">
  <authors>
    <author>Ian Huitson</author>
  </authors>
  <commentList>
    <comment ref="V11" authorId="0">
      <text>
        <r>
          <rPr>
            <b/>
            <sz val="9"/>
            <color indexed="81"/>
            <rFont val="Tahoma"/>
            <family val="2"/>
          </rPr>
          <t>Smaller = Slower
Larger = Faster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<sst xmlns="http://schemas.openxmlformats.org/spreadsheetml/2006/main" count="21" uniqueCount="20">
  <si>
    <t>Pendulum</t>
  </si>
  <si>
    <t>Gravity</t>
  </si>
  <si>
    <t>Degrees</t>
  </si>
  <si>
    <t>Swing (Max)</t>
  </si>
  <si>
    <t>Length, cm</t>
  </si>
  <si>
    <t>Cycles/T</t>
  </si>
  <si>
    <t>Time Inc</t>
  </si>
  <si>
    <t xml:space="preserve">Inspiration: </t>
  </si>
  <si>
    <t>Smaller = Slower</t>
  </si>
  <si>
    <t xml:space="preserve">Bob Color </t>
  </si>
  <si>
    <t xml:space="preserve">Wire Color </t>
  </si>
  <si>
    <t>Newton Excel Bach</t>
  </si>
  <si>
    <t xml:space="preserve">Author: </t>
  </si>
  <si>
    <t>Ian Huitson</t>
  </si>
  <si>
    <t>Spacing</t>
  </si>
  <si>
    <t>cm</t>
  </si>
  <si>
    <r>
      <t>cm/s</t>
    </r>
    <r>
      <rPr>
        <vertAlign val="superscript"/>
        <sz val="20"/>
        <color theme="1" tint="0.499984740745262"/>
        <rFont val="Calibri"/>
        <family val="2"/>
        <scheme val="minor"/>
      </rPr>
      <t>2</t>
    </r>
    <r>
      <rPr>
        <sz val="20"/>
        <color theme="1" tint="0.499984740745262"/>
        <rFont val="Calibri"/>
        <family val="2"/>
        <scheme val="minor"/>
      </rPr>
      <t xml:space="preserve"> </t>
    </r>
  </si>
  <si>
    <t>Tinc</t>
  </si>
  <si>
    <t>max Swing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</si>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</sst>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0000"/>
      <name val="Tahoma"/>
      <family val="2"/>
    </font>
    <font>
      <b/>
      <u/>
      <sz val="8"/>
      <color theme="1"/>
      <name val="Calibri"/>
      <family val="2"/>
      <scheme val="minor"/>
    </font>
    <font>
      <b/>
      <sz val="8"/>
      <color rgb="FF0000FF"/>
      <name val="Calibri"/>
      <family val="2"/>
      <scheme val="minor"/>
    </font>
    <font>
      <u/>
      <sz val="10.4"/>
      <color theme="10"/>
      <name val="Calibri"/>
      <family val="2"/>
    </font>
    <font>
      <u/>
      <sz val="8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rgb="FF0000FF"/>
      <name val="Calibri"/>
      <family val="2"/>
      <scheme val="minor"/>
    </font>
    <font>
      <b/>
      <sz val="28"/>
      <color rgb="FF0000FF"/>
      <name val="Calibri"/>
      <family val="2"/>
      <scheme val="minor"/>
    </font>
    <font>
      <b/>
      <sz val="48"/>
      <color rgb="FF0000F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20"/>
      <color theme="1" tint="0.499984740745262"/>
      <name val="Calibri"/>
      <family val="2"/>
      <scheme val="minor"/>
    </font>
    <font>
      <vertAlign val="superscript"/>
      <sz val="20"/>
      <color theme="1" tint="0.499984740745262"/>
      <name val="Calibri"/>
      <family val="2"/>
      <scheme val="minor"/>
    </font>
    <font>
      <u/>
      <sz val="20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39994506668294322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6">
    <xf numFmtId="0" fontId="0" fillId="0" borderId="0" xfId="0"/>
    <xf numFmtId="0" fontId="0" fillId="4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2" fontId="0" fillId="4" borderId="0" xfId="0" quotePrefix="1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quotePrefix="1" applyNumberFormat="1" applyFont="1" applyFill="1" applyAlignment="1">
      <alignment horizontal="center"/>
    </xf>
    <xf numFmtId="0" fontId="8" fillId="4" borderId="0" xfId="2" applyFont="1" applyFill="1" applyAlignment="1" applyProtection="1"/>
    <xf numFmtId="0" fontId="0" fillId="4" borderId="0" xfId="0" applyFill="1" applyAlignment="1">
      <alignment horizontal="centerContinuous"/>
    </xf>
    <xf numFmtId="0" fontId="9" fillId="4" borderId="0" xfId="0" applyFont="1" applyFill="1" applyAlignment="1">
      <alignment horizontal="centerContinuous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12" fillId="4" borderId="0" xfId="0" applyFont="1" applyFill="1" applyAlignment="1">
      <alignment horizontal="centerContinuous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3" fillId="4" borderId="0" xfId="0" applyFont="1" applyFill="1"/>
    <xf numFmtId="0" fontId="15" fillId="4" borderId="0" xfId="0" applyFont="1" applyFill="1" applyAlignment="1">
      <alignment horizontal="centerContinuous"/>
    </xf>
    <xf numFmtId="0" fontId="16" fillId="4" borderId="0" xfId="0" applyFont="1" applyFill="1" applyAlignment="1">
      <alignment horizontal="centerContinuous"/>
    </xf>
    <xf numFmtId="0" fontId="19" fillId="4" borderId="0" xfId="2" applyFont="1" applyFill="1" applyAlignment="1" applyProtection="1"/>
    <xf numFmtId="0" fontId="18" fillId="4" borderId="0" xfId="0" applyFont="1" applyFill="1" applyAlignment="1">
      <alignment horizontal="right"/>
    </xf>
    <xf numFmtId="0" fontId="14" fillId="3" borderId="1" xfId="1" applyFont="1" applyFill="1" applyBorder="1"/>
    <xf numFmtId="0" fontId="20" fillId="4" borderId="0" xfId="0" applyFont="1" applyFill="1"/>
    <xf numFmtId="0" fontId="14" fillId="3" borderId="2" xfId="1" applyFont="1" applyFill="1" applyBorder="1"/>
    <xf numFmtId="3" fontId="14" fillId="3" borderId="3" xfId="1" applyNumberFormat="1" applyFont="1" applyFill="1" applyBorder="1"/>
    <xf numFmtId="0" fontId="17" fillId="4" borderId="0" xfId="0" applyFont="1" applyFill="1" applyAlignment="1">
      <alignment horizontal="right"/>
    </xf>
    <xf numFmtId="0" fontId="22" fillId="4" borderId="0" xfId="2" applyFont="1" applyFill="1" applyAlignment="1" applyProtection="1"/>
  </cellXfs>
  <cellStyles count="4">
    <cellStyle name="Good" xfId="1" builtinId="26"/>
    <cellStyle name="Hyperlink" xfId="2" builtinId="8"/>
    <cellStyle name="Normal" xfId="0" builtinId="0"/>
    <cellStyle name="Normal 2" xfId="3"/>
  </cellStyles>
  <dxfs count="0"/>
  <tableStyles count="0" defaultTableStyle="TableStyleMedium9" defaultPivotStyle="PivotStyleLight16"/>
  <colors>
    <mruColors>
      <color rgb="FF0000FF"/>
      <color rgb="FFFFFE00"/>
      <color rgb="FF58585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846578122714791"/>
          <c:h val="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00FF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0070C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[0]!p1x</c:f>
              <c:numCache>
                <c:formatCode>General</c:formatCode>
                <c:ptCount val="2"/>
                <c:pt idx="0">
                  <c:v>0</c:v>
                </c:pt>
                <c:pt idx="1">
                  <c:v>29.548904044503697</c:v>
                </c:pt>
              </c:numCache>
            </c:numRef>
          </c:xVal>
          <c:yVal>
            <c:numRef>
              <c:f>[0]!p1y</c:f>
              <c:numCache>
                <c:formatCode>General</c:formatCode>
                <c:ptCount val="2"/>
                <c:pt idx="0">
                  <c:v>0</c:v>
                </c:pt>
                <c:pt idx="1">
                  <c:v>-52.219366807427996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C0504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[0]!p2x</c:f>
              <c:numCache>
                <c:formatCode>General</c:formatCode>
                <c:ptCount val="2"/>
                <c:pt idx="0">
                  <c:v>0</c:v>
                </c:pt>
                <c:pt idx="1">
                  <c:v>12.314147230657026</c:v>
                </c:pt>
              </c:numCache>
            </c:numRef>
          </c:xVal>
          <c:yVal>
            <c:numRef>
              <c:f>[0]!p2y</c:f>
              <c:numCache>
                <c:formatCode>General</c:formatCode>
                <c:ptCount val="2"/>
                <c:pt idx="0">
                  <c:v>0</c:v>
                </c:pt>
                <c:pt idx="1">
                  <c:v>-51.49578922842305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E46C0A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[0]!p3x</c:f>
              <c:numCache>
                <c:formatCode>General</c:formatCode>
                <c:ptCount val="2"/>
                <c:pt idx="0">
                  <c:v>0</c:v>
                </c:pt>
                <c:pt idx="1">
                  <c:v>-10.821108221671578</c:v>
                </c:pt>
              </c:numCache>
            </c:numRef>
          </c:xVal>
          <c:yVal>
            <c:numRef>
              <c:f>[0]!p3y</c:f>
              <c:numCache>
                <c:formatCode>General</c:formatCode>
                <c:ptCount val="2"/>
                <c:pt idx="0">
                  <c:v>0</c:v>
                </c:pt>
                <c:pt idx="1">
                  <c:v>-45.808633252859899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8064A2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604A7B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[0]!p4x</c:f>
              <c:numCache>
                <c:formatCode>General</c:formatCode>
                <c:ptCount val="2"/>
                <c:pt idx="0">
                  <c:v>0</c:v>
                </c:pt>
                <c:pt idx="1">
                  <c:v>-20.72178961417794</c:v>
                </c:pt>
              </c:numCache>
            </c:numRef>
          </c:xVal>
          <c:yVal>
            <c:numRef>
              <c:f>[0]!p4y</c:f>
              <c:numCache>
                <c:formatCode>General</c:formatCode>
                <c:ptCount val="2"/>
                <c:pt idx="0">
                  <c:v>0</c:v>
                </c:pt>
                <c:pt idx="1">
                  <c:v>-36.668263396513325</c:v>
                </c:pt>
              </c:numCache>
            </c:numRef>
          </c:yVal>
          <c:smooth val="0"/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77933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[0]!p5x</c:f>
              <c:numCache>
                <c:formatCode>General</c:formatCode>
                <c:ptCount val="2"/>
                <c:pt idx="0">
                  <c:v>0</c:v>
                </c:pt>
                <c:pt idx="1">
                  <c:v>-14.347030137238436</c:v>
                </c:pt>
              </c:numCache>
            </c:numRef>
          </c:xVal>
          <c:yVal>
            <c:numRef>
              <c:f>[0]!p5y</c:f>
              <c:numCache>
                <c:formatCode>General</c:formatCode>
                <c:ptCount val="2"/>
                <c:pt idx="0">
                  <c:v>0</c:v>
                </c:pt>
                <c:pt idx="1">
                  <c:v>-35.089535400512979</c:v>
                </c:pt>
              </c:numCache>
            </c:numRef>
          </c:yVal>
          <c:smooth val="0"/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1F497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[0]!p6x</c:f>
              <c:numCache>
                <c:formatCode>General</c:formatCode>
                <c:ptCount val="2"/>
                <c:pt idx="0">
                  <c:v>0</c:v>
                </c:pt>
                <c:pt idx="1">
                  <c:v>1.5932994398299254</c:v>
                </c:pt>
              </c:numCache>
            </c:numRef>
          </c:xVal>
          <c:yVal>
            <c:numRef>
              <c:f>[0]!p6y</c:f>
              <c:numCache>
                <c:formatCode>General</c:formatCode>
                <c:ptCount val="2"/>
                <c:pt idx="0">
                  <c:v>0</c:v>
                </c:pt>
                <c:pt idx="1">
                  <c:v>-34.263986535275983</c:v>
                </c:pt>
              </c:numCache>
            </c:numRef>
          </c:yVal>
          <c:smooth val="0"/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1F497D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17375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[0]!p7x</c:f>
              <c:numCache>
                <c:formatCode>General</c:formatCode>
                <c:ptCount val="2"/>
                <c:pt idx="0">
                  <c:v>0</c:v>
                </c:pt>
                <c:pt idx="1">
                  <c:v>13.399569122029687</c:v>
                </c:pt>
              </c:numCache>
            </c:numRef>
          </c:xVal>
          <c:yVal>
            <c:numRef>
              <c:f>[0]!p7y</c:f>
              <c:numCache>
                <c:formatCode>General</c:formatCode>
                <c:ptCount val="2"/>
                <c:pt idx="0">
                  <c:v>0</c:v>
                </c:pt>
                <c:pt idx="1">
                  <c:v>-28.158832510693177</c:v>
                </c:pt>
              </c:numCache>
            </c:numRef>
          </c:yVal>
          <c:smooth val="0"/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ysClr val="windowText" lastClr="0000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x"/>
              <c:size val="4"/>
              <c:spPr>
                <a:solidFill>
                  <a:srgbClr val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[0]!p8x</c:f>
              <c:numCache>
                <c:formatCode>General</c:formatCode>
                <c:ptCount val="2"/>
                <c:pt idx="0">
                  <c:v>0</c:v>
                </c:pt>
                <c:pt idx="1">
                  <c:v>13.374800130358746</c:v>
                </c:pt>
              </c:numCache>
            </c:numRef>
          </c:xVal>
          <c:yVal>
            <c:numRef>
              <c:f>[0]!p8y</c:f>
              <c:numCache>
                <c:formatCode>General</c:formatCode>
                <c:ptCount val="2"/>
                <c:pt idx="0">
                  <c:v>0</c:v>
                </c:pt>
                <c:pt idx="1">
                  <c:v>-25.137374879824122</c:v>
                </c:pt>
              </c:numCache>
            </c:numRef>
          </c:yVal>
          <c:smooth val="0"/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circle"/>
              <c:size val="2"/>
            </c:marker>
            <c:bubble3D val="0"/>
          </c:dPt>
          <c:dPt>
            <c:idx val="1"/>
            <c:marker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[0]!p9x</c:f>
              <c:numCache>
                <c:formatCode>General</c:formatCode>
                <c:ptCount val="2"/>
                <c:pt idx="0">
                  <c:v>0</c:v>
                </c:pt>
                <c:pt idx="1">
                  <c:v>3.7801187824784468</c:v>
                </c:pt>
              </c:numCache>
            </c:numRef>
          </c:xVal>
          <c:yVal>
            <c:numRef>
              <c:f>[0]!p9y</c:f>
              <c:numCache>
                <c:formatCode>General</c:formatCode>
                <c:ptCount val="2"/>
                <c:pt idx="0">
                  <c:v>0</c:v>
                </c:pt>
                <c:pt idx="1">
                  <c:v>-25.827141216000662</c:v>
                </c:pt>
              </c:numCache>
            </c:numRef>
          </c:yVal>
          <c:smooth val="0"/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[0]!p10x</c:f>
              <c:numCache>
                <c:formatCode>General</c:formatCode>
                <c:ptCount val="2"/>
                <c:pt idx="0">
                  <c:v>0</c:v>
                </c:pt>
                <c:pt idx="1">
                  <c:v>-7.4121423267707138</c:v>
                </c:pt>
              </c:numCache>
            </c:numRef>
          </c:xVal>
          <c:yVal>
            <c:numRef>
              <c:f>[0]!p10y</c:f>
              <c:numCache>
                <c:formatCode>General</c:formatCode>
                <c:ptCount val="2"/>
                <c:pt idx="0">
                  <c:v>0</c:v>
                </c:pt>
                <c:pt idx="1">
                  <c:v>-22.842505796546469</c:v>
                </c:pt>
              </c:numCache>
            </c:numRef>
          </c:yVal>
          <c:smooth val="0"/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[0]!p11x</c:f>
              <c:numCache>
                <c:formatCode>General</c:formatCode>
                <c:ptCount val="2"/>
                <c:pt idx="0">
                  <c:v>0</c:v>
                </c:pt>
                <c:pt idx="1">
                  <c:v>-11.084101093056837</c:v>
                </c:pt>
              </c:numCache>
            </c:numRef>
          </c:xVal>
          <c:yVal>
            <c:numRef>
              <c:f>[0]!p11y</c:f>
              <c:numCache>
                <c:formatCode>General</c:formatCode>
                <c:ptCount val="2"/>
                <c:pt idx="0">
                  <c:v>0</c:v>
                </c:pt>
                <c:pt idx="1">
                  <c:v>-19.198450935739817</c:v>
                </c:pt>
              </c:numCache>
            </c:numRef>
          </c:yVal>
          <c:smooth val="0"/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[0]!p12x</c:f>
              <c:numCache>
                <c:formatCode>General</c:formatCode>
                <c:ptCount val="2"/>
                <c:pt idx="0">
                  <c:v>0</c:v>
                </c:pt>
                <c:pt idx="1">
                  <c:v>-6.4072824681878178</c:v>
                </c:pt>
              </c:numCache>
            </c:numRef>
          </c:xVal>
          <c:yVal>
            <c:numRef>
              <c:f>[0]!p12y</c:f>
              <c:numCache>
                <c:formatCode>General</c:formatCode>
                <c:ptCount val="2"/>
                <c:pt idx="0">
                  <c:v>0</c:v>
                </c:pt>
                <c:pt idx="1">
                  <c:v>-19.501267840475993</c:v>
                </c:pt>
              </c:numCache>
            </c:numRef>
          </c:yVal>
          <c:smooth val="0"/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[0]!p13x</c:f>
              <c:numCache>
                <c:formatCode>General</c:formatCode>
                <c:ptCount val="2"/>
                <c:pt idx="0">
                  <c:v>0</c:v>
                </c:pt>
                <c:pt idx="1">
                  <c:v>2.6768107986922236</c:v>
                </c:pt>
              </c:numCache>
            </c:numRef>
          </c:xVal>
          <c:yVal>
            <c:numRef>
              <c:f>[0]!p13y</c:f>
              <c:numCache>
                <c:formatCode>General</c:formatCode>
                <c:ptCount val="2"/>
                <c:pt idx="0">
                  <c:v>0</c:v>
                </c:pt>
                <c:pt idx="1">
                  <c:v>-18.872265128273156</c:v>
                </c:pt>
              </c:numCache>
            </c:numRef>
          </c:yVal>
          <c:smooth val="0"/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C0504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[0]!p14x</c:f>
              <c:numCache>
                <c:formatCode>General</c:formatCode>
                <c:ptCount val="2"/>
                <c:pt idx="0">
                  <c:v>0</c:v>
                </c:pt>
                <c:pt idx="1">
                  <c:v>8.3099717696001676</c:v>
                </c:pt>
              </c:numCache>
            </c:numRef>
          </c:xVal>
          <c:yVal>
            <c:numRef>
              <c:f>[0]!p14y</c:f>
              <c:numCache>
                <c:formatCode>General</c:formatCode>
                <c:ptCount val="2"/>
                <c:pt idx="0">
                  <c:v>0</c:v>
                </c:pt>
                <c:pt idx="1">
                  <c:v>-15.681209947407524</c:v>
                </c:pt>
              </c:numCache>
            </c:numRef>
          </c:yVal>
          <c:smooth val="0"/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[0]!p15x</c:f>
              <c:numCache>
                <c:formatCode>General</c:formatCode>
                <c:ptCount val="2"/>
                <c:pt idx="0">
                  <c:v>0</c:v>
                </c:pt>
                <c:pt idx="1">
                  <c:v>7.1536547696145867</c:v>
                </c:pt>
              </c:numCache>
            </c:numRef>
          </c:xVal>
          <c:yVal>
            <c:numRef>
              <c:f>[0]!p15y</c:f>
              <c:numCache>
                <c:formatCode>General</c:formatCode>
                <c:ptCount val="2"/>
                <c:pt idx="0">
                  <c:v>0</c:v>
                </c:pt>
                <c:pt idx="1">
                  <c:v>-14.939817050828545</c:v>
                </c:pt>
              </c:numCache>
            </c:numRef>
          </c:yVal>
          <c:smooth val="0"/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square"/>
              <c:size val="6"/>
              <c:spPr>
                <a:solidFill>
                  <a:sysClr val="windowText" lastClr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[0]!p16x</c:f>
              <c:numCache>
                <c:formatCode>General</c:formatCode>
                <c:ptCount val="2"/>
                <c:pt idx="0">
                  <c:v>0</c:v>
                </c:pt>
                <c:pt idx="1">
                  <c:v>0.79078902692633968</c:v>
                </c:pt>
              </c:numCache>
            </c:numRef>
          </c:xVal>
          <c:yVal>
            <c:numRef>
              <c:f>[0]!p16y</c:f>
              <c:numCache>
                <c:formatCode>General</c:formatCode>
                <c:ptCount val="2"/>
                <c:pt idx="0">
                  <c:v>0</c:v>
                </c:pt>
                <c:pt idx="1">
                  <c:v>-15.47564338284189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6688"/>
        <c:axId val="248827264"/>
      </c:scatterChart>
      <c:valAx>
        <c:axId val="248826688"/>
        <c:scaling>
          <c:orientation val="minMax"/>
          <c:max val="50"/>
          <c:min val="-50"/>
        </c:scaling>
        <c:delete val="0"/>
        <c:axPos val="b"/>
        <c:numFmt formatCode=";;;" sourceLinked="0"/>
        <c:majorTickMark val="none"/>
        <c:minorTickMark val="none"/>
        <c:tickLblPos val="nextTo"/>
        <c:crossAx val="248827264"/>
        <c:crosses val="autoZero"/>
        <c:crossBetween val="midCat"/>
      </c:valAx>
      <c:valAx>
        <c:axId val="248827264"/>
        <c:scaling>
          <c:orientation val="minMax"/>
          <c:max val="5"/>
          <c:min val="-65"/>
        </c:scaling>
        <c:delete val="1"/>
        <c:axPos val="l"/>
        <c:numFmt formatCode="General" sourceLinked="1"/>
        <c:majorTickMark val="out"/>
        <c:minorTickMark val="none"/>
        <c:tickLblPos val="nextTo"/>
        <c:crossAx val="248826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mpd="thinThick"/>
  </c:spPr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278831698200182E-2"/>
          <c:y val="1.2734439247567954E-2"/>
          <c:w val="0.99834562645967284"/>
          <c:h val="0.97880699752159472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00FF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0070C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[0]!p1x</c:f>
              <c:numCache>
                <c:formatCode>General</c:formatCode>
                <c:ptCount val="2"/>
                <c:pt idx="0">
                  <c:v>0</c:v>
                </c:pt>
                <c:pt idx="1">
                  <c:v>29.548904044503697</c:v>
                </c:pt>
              </c:numCache>
            </c:numRef>
          </c:xVal>
          <c:yVal>
            <c:numRef>
              <c:f>[0]!p1tz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C0504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[0]!p2x</c:f>
              <c:numCache>
                <c:formatCode>General</c:formatCode>
                <c:ptCount val="2"/>
                <c:pt idx="0">
                  <c:v>0</c:v>
                </c:pt>
                <c:pt idx="1">
                  <c:v>12.314147230657026</c:v>
                </c:pt>
              </c:numCache>
            </c:numRef>
          </c:xVal>
          <c:yVal>
            <c:numRef>
              <c:f>[0]!p2tz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E46C0A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[0]!p3x</c:f>
              <c:numCache>
                <c:formatCode>General</c:formatCode>
                <c:ptCount val="2"/>
                <c:pt idx="0">
                  <c:v>0</c:v>
                </c:pt>
                <c:pt idx="1">
                  <c:v>-10.821108221671578</c:v>
                </c:pt>
              </c:numCache>
            </c:numRef>
          </c:xVal>
          <c:yVal>
            <c:numRef>
              <c:f>[0]!p3tz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8064A2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604A7B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[0]!p4x</c:f>
              <c:numCache>
                <c:formatCode>General</c:formatCode>
                <c:ptCount val="2"/>
                <c:pt idx="0">
                  <c:v>0</c:v>
                </c:pt>
                <c:pt idx="1">
                  <c:v>-20.72178961417794</c:v>
                </c:pt>
              </c:numCache>
            </c:numRef>
          </c:xVal>
          <c:yVal>
            <c:numRef>
              <c:f>[0]!p4tz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77933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[0]!p5x</c:f>
              <c:numCache>
                <c:formatCode>General</c:formatCode>
                <c:ptCount val="2"/>
                <c:pt idx="0">
                  <c:v>0</c:v>
                </c:pt>
                <c:pt idx="1">
                  <c:v>-14.347030137238436</c:v>
                </c:pt>
              </c:numCache>
            </c:numRef>
          </c:xVal>
          <c:yVal>
            <c:numRef>
              <c:f>[0]!p5tz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1F497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[0]!p6x</c:f>
              <c:numCache>
                <c:formatCode>General</c:formatCode>
                <c:ptCount val="2"/>
                <c:pt idx="0">
                  <c:v>0</c:v>
                </c:pt>
                <c:pt idx="1">
                  <c:v>1.5932994398299254</c:v>
                </c:pt>
              </c:numCache>
            </c:numRef>
          </c:xVal>
          <c:yVal>
            <c:numRef>
              <c:f>[0]!p6tz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0"/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1F497D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17375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[0]!p7x</c:f>
              <c:numCache>
                <c:formatCode>General</c:formatCode>
                <c:ptCount val="2"/>
                <c:pt idx="0">
                  <c:v>0</c:v>
                </c:pt>
                <c:pt idx="1">
                  <c:v>13.399569122029687</c:v>
                </c:pt>
              </c:numCache>
            </c:numRef>
          </c:xVal>
          <c:yVal>
            <c:numRef>
              <c:f>[0]!p7tz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ysClr val="windowText" lastClr="0000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x"/>
              <c:size val="3"/>
              <c:spPr>
                <a:solidFill>
                  <a:srgbClr val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[0]!p8x</c:f>
              <c:numCache>
                <c:formatCode>General</c:formatCode>
                <c:ptCount val="2"/>
                <c:pt idx="0">
                  <c:v>0</c:v>
                </c:pt>
                <c:pt idx="1">
                  <c:v>13.374800130358746</c:v>
                </c:pt>
              </c:numCache>
            </c:numRef>
          </c:xVal>
          <c:yVal>
            <c:numRef>
              <c:f>[0]!p8tz</c:f>
              <c:numCache>
                <c:formatCode>General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yVal>
          <c:smooth val="0"/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circle"/>
              <c:size val="2"/>
            </c:marker>
            <c:bubble3D val="0"/>
          </c:dPt>
          <c:dPt>
            <c:idx val="1"/>
            <c:marker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[0]!p9x</c:f>
              <c:numCache>
                <c:formatCode>General</c:formatCode>
                <c:ptCount val="2"/>
                <c:pt idx="0">
                  <c:v>0</c:v>
                </c:pt>
                <c:pt idx="1">
                  <c:v>3.7801187824784468</c:v>
                </c:pt>
              </c:numCache>
            </c:numRef>
          </c:xVal>
          <c:yVal>
            <c:numRef>
              <c:f>[0]!p9tz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yVal>
          <c:smooth val="0"/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[0]!p10x</c:f>
              <c:numCache>
                <c:formatCode>General</c:formatCode>
                <c:ptCount val="2"/>
                <c:pt idx="0">
                  <c:v>0</c:v>
                </c:pt>
                <c:pt idx="1">
                  <c:v>-7.4121423267707138</c:v>
                </c:pt>
              </c:numCache>
            </c:numRef>
          </c:xVal>
          <c:yVal>
            <c:numRef>
              <c:f>[0]!p10tz</c:f>
              <c:numCache>
                <c:formatCode>General</c:formatCode>
                <c:ptCount val="2"/>
                <c:pt idx="0">
                  <c:v>135</c:v>
                </c:pt>
                <c:pt idx="1">
                  <c:v>135</c:v>
                </c:pt>
              </c:numCache>
            </c:numRef>
          </c:yVal>
          <c:smooth val="0"/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[0]!p11x</c:f>
              <c:numCache>
                <c:formatCode>General</c:formatCode>
                <c:ptCount val="2"/>
                <c:pt idx="0">
                  <c:v>0</c:v>
                </c:pt>
                <c:pt idx="1">
                  <c:v>-11.084101093056837</c:v>
                </c:pt>
              </c:numCache>
            </c:numRef>
          </c:xVal>
          <c:yVal>
            <c:numRef>
              <c:f>[0]!p11tz</c:f>
              <c:numCache>
                <c:formatCode>General</c:formatCode>
                <c:ptCount val="2"/>
                <c:pt idx="0">
                  <c:v>150</c:v>
                </c:pt>
                <c:pt idx="1">
                  <c:v>150</c:v>
                </c:pt>
              </c:numCache>
            </c:numRef>
          </c:yVal>
          <c:smooth val="0"/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[0]!p12x</c:f>
              <c:numCache>
                <c:formatCode>General</c:formatCode>
                <c:ptCount val="2"/>
                <c:pt idx="0">
                  <c:v>0</c:v>
                </c:pt>
                <c:pt idx="1">
                  <c:v>-6.4072824681878178</c:v>
                </c:pt>
              </c:numCache>
            </c:numRef>
          </c:xVal>
          <c:yVal>
            <c:numRef>
              <c:f>[0]!p12tz</c:f>
              <c:numCache>
                <c:formatCode>General</c:formatCode>
                <c:ptCount val="2"/>
                <c:pt idx="0">
                  <c:v>165</c:v>
                </c:pt>
                <c:pt idx="1">
                  <c:v>165</c:v>
                </c:pt>
              </c:numCache>
            </c:numRef>
          </c:yVal>
          <c:smooth val="0"/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[0]!p13x</c:f>
              <c:numCache>
                <c:formatCode>General</c:formatCode>
                <c:ptCount val="2"/>
                <c:pt idx="0">
                  <c:v>0</c:v>
                </c:pt>
                <c:pt idx="1">
                  <c:v>2.6768107986922236</c:v>
                </c:pt>
              </c:numCache>
            </c:numRef>
          </c:xVal>
          <c:yVal>
            <c:numRef>
              <c:f>[0]!p13tz</c:f>
              <c:numCache>
                <c:formatCode>General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yVal>
          <c:smooth val="0"/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C0504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[0]!p14x</c:f>
              <c:numCache>
                <c:formatCode>General</c:formatCode>
                <c:ptCount val="2"/>
                <c:pt idx="0">
                  <c:v>0</c:v>
                </c:pt>
                <c:pt idx="1">
                  <c:v>8.3099717696001676</c:v>
                </c:pt>
              </c:numCache>
            </c:numRef>
          </c:xVal>
          <c:yVal>
            <c:numRef>
              <c:f>[0]!p14tz</c:f>
              <c:numCache>
                <c:formatCode>General</c:formatCode>
                <c:ptCount val="2"/>
                <c:pt idx="0">
                  <c:v>195</c:v>
                </c:pt>
                <c:pt idx="1">
                  <c:v>195</c:v>
                </c:pt>
              </c:numCache>
            </c:numRef>
          </c:yVal>
          <c:smooth val="0"/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[0]!p15x</c:f>
              <c:numCache>
                <c:formatCode>General</c:formatCode>
                <c:ptCount val="2"/>
                <c:pt idx="0">
                  <c:v>0</c:v>
                </c:pt>
                <c:pt idx="1">
                  <c:v>7.1536547696145867</c:v>
                </c:pt>
              </c:numCache>
            </c:numRef>
          </c:xVal>
          <c:yVal>
            <c:numRef>
              <c:f>[0]!p15tz</c:f>
              <c:numCache>
                <c:formatCode>General</c:formatCode>
                <c:ptCount val="2"/>
                <c:pt idx="0">
                  <c:v>210</c:v>
                </c:pt>
                <c:pt idx="1">
                  <c:v>210</c:v>
                </c:pt>
              </c:numCache>
            </c:numRef>
          </c:yVal>
          <c:smooth val="0"/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square"/>
              <c:size val="3"/>
              <c:spPr>
                <a:solidFill>
                  <a:sysClr val="windowText" lastClr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[0]!p16x</c:f>
              <c:numCache>
                <c:formatCode>General</c:formatCode>
                <c:ptCount val="2"/>
                <c:pt idx="0">
                  <c:v>0</c:v>
                </c:pt>
                <c:pt idx="1">
                  <c:v>0.79078902692633968</c:v>
                </c:pt>
              </c:numCache>
            </c:numRef>
          </c:xVal>
          <c:yVal>
            <c:numRef>
              <c:f>[0]!p16tz</c:f>
              <c:numCache>
                <c:formatCode>General</c:formatCode>
                <c:ptCount val="2"/>
                <c:pt idx="0">
                  <c:v>225</c:v>
                </c:pt>
                <c:pt idx="1">
                  <c:v>225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9568"/>
        <c:axId val="248830144"/>
      </c:scatterChart>
      <c:valAx>
        <c:axId val="248829568"/>
        <c:scaling>
          <c:orientation val="minMax"/>
          <c:max val="50"/>
          <c:min val="-50"/>
        </c:scaling>
        <c:delete val="1"/>
        <c:axPos val="b"/>
        <c:numFmt formatCode="General" sourceLinked="1"/>
        <c:majorTickMark val="out"/>
        <c:minorTickMark val="none"/>
        <c:tickLblPos val="nextTo"/>
        <c:crossAx val="248830144"/>
        <c:crosses val="autoZero"/>
        <c:crossBetween val="midCat"/>
      </c:valAx>
      <c:valAx>
        <c:axId val="248830144"/>
        <c:scaling>
          <c:orientation val="minMax"/>
          <c:max val="230"/>
          <c:min val="-5"/>
        </c:scaling>
        <c:delete val="0"/>
        <c:axPos val="l"/>
        <c:numFmt formatCode=";;;" sourceLinked="0"/>
        <c:majorTickMark val="none"/>
        <c:minorTickMark val="none"/>
        <c:tickLblPos val="nextTo"/>
        <c:crossAx val="2488295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mpd="thinThick"/>
  </c:spPr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778894460322899E-2"/>
          <c:y val="0"/>
          <c:w val="0.97433205454861749"/>
          <c:h val="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00FF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0070C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[0]!p1tz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[0]!p1y</c:f>
              <c:numCache>
                <c:formatCode>General</c:formatCode>
                <c:ptCount val="2"/>
                <c:pt idx="0">
                  <c:v>0</c:v>
                </c:pt>
                <c:pt idx="1">
                  <c:v>-52.219366807427996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C0504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[0]!p2tz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[0]!p2y</c:f>
              <c:numCache>
                <c:formatCode>General</c:formatCode>
                <c:ptCount val="2"/>
                <c:pt idx="0">
                  <c:v>0</c:v>
                </c:pt>
                <c:pt idx="1">
                  <c:v>-51.49578922842305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E46C0A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[0]!p3tz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xVal>
          <c:yVal>
            <c:numRef>
              <c:f>[0]!p3y</c:f>
              <c:numCache>
                <c:formatCode>General</c:formatCode>
                <c:ptCount val="2"/>
                <c:pt idx="0">
                  <c:v>0</c:v>
                </c:pt>
                <c:pt idx="1">
                  <c:v>-45.808633252859899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8064A2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604A7B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[0]!p4tz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[0]!p4y</c:f>
              <c:numCache>
                <c:formatCode>General</c:formatCode>
                <c:ptCount val="2"/>
                <c:pt idx="0">
                  <c:v>0</c:v>
                </c:pt>
                <c:pt idx="1">
                  <c:v>-36.668263396513325</c:v>
                </c:pt>
              </c:numCache>
            </c:numRef>
          </c:yVal>
          <c:smooth val="0"/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77933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[0]!p5tz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[0]!p5y</c:f>
              <c:numCache>
                <c:formatCode>General</c:formatCode>
                <c:ptCount val="2"/>
                <c:pt idx="0">
                  <c:v>0</c:v>
                </c:pt>
                <c:pt idx="1">
                  <c:v>-35.089535400512979</c:v>
                </c:pt>
              </c:numCache>
            </c:numRef>
          </c:yVal>
          <c:smooth val="0"/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1F497D">
                  <a:lumMod val="60000"/>
                  <a:lumOff val="40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[0]!p6tz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[0]!p6y</c:f>
              <c:numCache>
                <c:formatCode>General</c:formatCode>
                <c:ptCount val="2"/>
                <c:pt idx="0">
                  <c:v>0</c:v>
                </c:pt>
                <c:pt idx="1">
                  <c:v>-34.263986535275983</c:v>
                </c:pt>
              </c:numCache>
            </c:numRef>
          </c:yVal>
          <c:smooth val="0"/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1F497D">
                  <a:lumMod val="7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auto"/>
              <c:spPr>
                <a:solidFill>
                  <a:srgbClr val="17375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[0]!p7tz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[0]!p7y</c:f>
              <c:numCache>
                <c:formatCode>General</c:formatCode>
                <c:ptCount val="2"/>
                <c:pt idx="0">
                  <c:v>0</c:v>
                </c:pt>
                <c:pt idx="1">
                  <c:v>-28.158832510693177</c:v>
                </c:pt>
              </c:numCache>
            </c:numRef>
          </c:yVal>
          <c:smooth val="0"/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ysClr val="windowText" lastClr="000000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x"/>
              <c:size val="3"/>
              <c:spPr>
                <a:solidFill>
                  <a:srgbClr val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[0]!p8tz</c:f>
              <c:numCache>
                <c:formatCode>General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xVal>
          <c:yVal>
            <c:numRef>
              <c:f>[0]!p8y</c:f>
              <c:numCache>
                <c:formatCode>General</c:formatCode>
                <c:ptCount val="2"/>
                <c:pt idx="0">
                  <c:v>0</c:v>
                </c:pt>
                <c:pt idx="1">
                  <c:v>-25.137374879824122</c:v>
                </c:pt>
              </c:numCache>
            </c:numRef>
          </c:yVal>
          <c:smooth val="0"/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9BBB59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circle"/>
              <c:size val="2"/>
            </c:marker>
            <c:bubble3D val="0"/>
          </c:dPt>
          <c:dPt>
            <c:idx val="1"/>
            <c:marker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[0]!p9tz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[0]!p9y</c:f>
              <c:numCache>
                <c:formatCode>General</c:formatCode>
                <c:ptCount val="2"/>
                <c:pt idx="0">
                  <c:v>0</c:v>
                </c:pt>
                <c:pt idx="1">
                  <c:v>-25.827141216000662</c:v>
                </c:pt>
              </c:numCache>
            </c:numRef>
          </c:yVal>
          <c:smooth val="0"/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[0]!p10tz</c:f>
              <c:numCache>
                <c:formatCode>General</c:formatCode>
                <c:ptCount val="2"/>
                <c:pt idx="0">
                  <c:v>135</c:v>
                </c:pt>
                <c:pt idx="1">
                  <c:v>135</c:v>
                </c:pt>
              </c:numCache>
            </c:numRef>
          </c:xVal>
          <c:yVal>
            <c:numRef>
              <c:f>[0]!p10y</c:f>
              <c:numCache>
                <c:formatCode>General</c:formatCode>
                <c:ptCount val="2"/>
                <c:pt idx="0">
                  <c:v>0</c:v>
                </c:pt>
                <c:pt idx="1">
                  <c:v>-22.842505796546469</c:v>
                </c:pt>
              </c:numCache>
            </c:numRef>
          </c:yVal>
          <c:smooth val="0"/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558ED5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[0]!p11tz</c:f>
              <c:numCache>
                <c:formatCode>General</c:formatCode>
                <c:ptCount val="2"/>
                <c:pt idx="0">
                  <c:v>150</c:v>
                </c:pt>
                <c:pt idx="1">
                  <c:v>150</c:v>
                </c:pt>
              </c:numCache>
            </c:numRef>
          </c:xVal>
          <c:yVal>
            <c:numRef>
              <c:f>[0]!p11y</c:f>
              <c:numCache>
                <c:formatCode>General</c:formatCode>
                <c:ptCount val="2"/>
                <c:pt idx="0">
                  <c:v>0</c:v>
                </c:pt>
                <c:pt idx="1">
                  <c:v>-19.198450935739817</c:v>
                </c:pt>
              </c:numCache>
            </c:numRef>
          </c:yVal>
          <c:smooth val="0"/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/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[0]!p12tz</c:f>
              <c:numCache>
                <c:formatCode>General</c:formatCode>
                <c:ptCount val="2"/>
                <c:pt idx="0">
                  <c:v>165</c:v>
                </c:pt>
                <c:pt idx="1">
                  <c:v>165</c:v>
                </c:pt>
              </c:numCache>
            </c:numRef>
          </c:xVal>
          <c:yVal>
            <c:numRef>
              <c:f>[0]!p12y</c:f>
              <c:numCache>
                <c:formatCode>General</c:formatCode>
                <c:ptCount val="2"/>
                <c:pt idx="0">
                  <c:v>0</c:v>
                </c:pt>
                <c:pt idx="1">
                  <c:v>-19.501267840475993</c:v>
                </c:pt>
              </c:numCache>
            </c:numRef>
          </c:yVal>
          <c:smooth val="0"/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1"/>
            <c:marker>
              <c:symbol val="circle"/>
              <c:size val="15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[0]!p13tz</c:f>
              <c:numCache>
                <c:formatCode>General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xVal>
          <c:yVal>
            <c:numRef>
              <c:f>[0]!p13y</c:f>
              <c:numCache>
                <c:formatCode>General</c:formatCode>
                <c:ptCount val="2"/>
                <c:pt idx="0">
                  <c:v>0</c:v>
                </c:pt>
                <c:pt idx="1">
                  <c:v>-18.872265128273156</c:v>
                </c:pt>
              </c:numCache>
            </c:numRef>
          </c:yVal>
          <c:smooth val="0"/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C0504D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</c:dPt>
          <c:dPt>
            <c:idx val="1"/>
            <c:marker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[0]!p14tz</c:f>
              <c:numCache>
                <c:formatCode>General</c:formatCode>
                <c:ptCount val="2"/>
                <c:pt idx="0">
                  <c:v>195</c:v>
                </c:pt>
                <c:pt idx="1">
                  <c:v>195</c:v>
                </c:pt>
              </c:numCache>
            </c:numRef>
          </c:xVal>
          <c:yVal>
            <c:numRef>
              <c:f>[0]!p14y</c:f>
              <c:numCache>
                <c:formatCode>General</c:formatCode>
                <c:ptCount val="2"/>
                <c:pt idx="0">
                  <c:v>0</c:v>
                </c:pt>
                <c:pt idx="1">
                  <c:v>-15.681209947407524</c:v>
                </c:pt>
              </c:numCache>
            </c:numRef>
          </c:yVal>
          <c:smooth val="0"/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[0]!p15tz</c:f>
              <c:numCache>
                <c:formatCode>General</c:formatCode>
                <c:ptCount val="2"/>
                <c:pt idx="0">
                  <c:v>210</c:v>
                </c:pt>
                <c:pt idx="1">
                  <c:v>210</c:v>
                </c:pt>
              </c:numCache>
            </c:numRef>
          </c:xVal>
          <c:yVal>
            <c:numRef>
              <c:f>[0]!p15y</c:f>
              <c:numCache>
                <c:formatCode>General</c:formatCode>
                <c:ptCount val="2"/>
                <c:pt idx="0">
                  <c:v>0</c:v>
                </c:pt>
                <c:pt idx="1">
                  <c:v>-14.939817050828545</c:v>
                </c:pt>
              </c:numCache>
            </c:numRef>
          </c:yVal>
          <c:smooth val="0"/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65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square"/>
              <c:size val="3"/>
              <c:spPr>
                <a:solidFill>
                  <a:sysClr val="windowText" lastClr="00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5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</c:dPt>
          <c:xVal>
            <c:numRef>
              <c:f>[0]!p16tz</c:f>
              <c:numCache>
                <c:formatCode>General</c:formatCode>
                <c:ptCount val="2"/>
                <c:pt idx="0">
                  <c:v>225</c:v>
                </c:pt>
                <c:pt idx="1">
                  <c:v>225</c:v>
                </c:pt>
              </c:numCache>
            </c:numRef>
          </c:xVal>
          <c:yVal>
            <c:numRef>
              <c:f>[0]!p16y</c:f>
              <c:numCache>
                <c:formatCode>General</c:formatCode>
                <c:ptCount val="2"/>
                <c:pt idx="0">
                  <c:v>0</c:v>
                </c:pt>
                <c:pt idx="1">
                  <c:v>-15.47564338284189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88128"/>
        <c:axId val="257688704"/>
      </c:scatterChart>
      <c:valAx>
        <c:axId val="257688128"/>
        <c:scaling>
          <c:orientation val="minMax"/>
          <c:max val="230"/>
          <c:min val="-5"/>
        </c:scaling>
        <c:delete val="0"/>
        <c:axPos val="b"/>
        <c:numFmt formatCode=";;;" sourceLinked="0"/>
        <c:majorTickMark val="none"/>
        <c:minorTickMark val="none"/>
        <c:tickLblPos val="nextTo"/>
        <c:crossAx val="257688704"/>
        <c:crosses val="autoZero"/>
        <c:crossBetween val="midCat"/>
      </c:valAx>
      <c:valAx>
        <c:axId val="257688704"/>
        <c:scaling>
          <c:orientation val="minMax"/>
          <c:max val="5"/>
          <c:min val="-65"/>
        </c:scaling>
        <c:delete val="1"/>
        <c:axPos val="l"/>
        <c:numFmt formatCode="General" sourceLinked="1"/>
        <c:majorTickMark val="out"/>
        <c:minorTickMark val="none"/>
        <c:tickLblPos val="nextTo"/>
        <c:crossAx val="2576881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mpd="thinThick"/>
  </c:spPr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B$9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checked="Checked" firstButton="1" fmlaLink="$B$8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387962</xdr:colOff>
      <xdr:row>5</xdr:row>
      <xdr:rowOff>17295</xdr:rowOff>
    </xdr:from>
    <xdr:ext cx="1309219" cy="484955"/>
    <xdr:sp macro="[0]!Reset" textlink="">
      <xdr:nvSpPr>
        <xdr:cNvPr id="4" name="Rounded Rectangle 3"/>
        <xdr:cNvSpPr/>
      </xdr:nvSpPr>
      <xdr:spPr>
        <a:xfrm>
          <a:off x="12476053" y="1454704"/>
          <a:ext cx="1309219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Reset</a:t>
          </a:r>
        </a:p>
      </xdr:txBody>
    </xdr:sp>
    <xdr:clientData/>
  </xdr:oneCellAnchor>
  <xdr:twoCellAnchor>
    <xdr:from>
      <xdr:col>27</xdr:col>
      <xdr:colOff>44684</xdr:colOff>
      <xdr:row>18</xdr:row>
      <xdr:rowOff>121226</xdr:rowOff>
    </xdr:from>
    <xdr:to>
      <xdr:col>33</xdr:col>
      <xdr:colOff>398317</xdr:colOff>
      <xdr:row>24</xdr:row>
      <xdr:rowOff>74468</xdr:rowOff>
    </xdr:to>
    <xdr:grpSp>
      <xdr:nvGrpSpPr>
        <xdr:cNvPr id="5" name="Group 4"/>
        <xdr:cNvGrpSpPr/>
      </xdr:nvGrpSpPr>
      <xdr:grpSpPr>
        <a:xfrm>
          <a:off x="12311729" y="4825999"/>
          <a:ext cx="3470906" cy="819151"/>
          <a:chOff x="1878928" y="410506"/>
          <a:chExt cx="1956926" cy="435857"/>
        </a:xfrm>
      </xdr:grpSpPr>
      <xdr:pic macro="[0]!Earth">
        <xdr:nvPicPr>
          <xdr:cNvPr id="9" name="Picture 8" descr="Earth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231756" y="415721"/>
            <a:ext cx="297973" cy="244148"/>
          </a:xfrm>
          <a:prstGeom prst="rect">
            <a:avLst/>
          </a:prstGeom>
        </xdr:spPr>
      </xdr:pic>
      <xdr:pic macro="[0]!Moon">
        <xdr:nvPicPr>
          <xdr:cNvPr id="10" name="Picture 9" descr="Moon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878928" y="410506"/>
            <a:ext cx="304077" cy="254577"/>
          </a:xfrm>
          <a:prstGeom prst="rect">
            <a:avLst/>
          </a:prstGeom>
        </xdr:spPr>
      </xdr:pic>
      <xdr:pic macro="[0]!Sun">
        <xdr:nvPicPr>
          <xdr:cNvPr id="11" name="Picture 10" descr="Sun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2939917" y="414986"/>
            <a:ext cx="292878" cy="2456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ScrollBar1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883229" y="664028"/>
                <a:ext cx="1952625" cy="182335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356136</xdr:colOff>
          <xdr:row>29</xdr:row>
          <xdr:rowOff>11380</xdr:rowOff>
        </xdr:from>
        <xdr:to>
          <xdr:col>25</xdr:col>
          <xdr:colOff>242454</xdr:colOff>
          <xdr:row>35</xdr:row>
          <xdr:rowOff>17071</xdr:rowOff>
        </xdr:to>
        <xdr:grpSp>
          <xdr:nvGrpSpPr>
            <xdr:cNvPr id="3" name="Group 2"/>
            <xdr:cNvGrpSpPr/>
          </xdr:nvGrpSpPr>
          <xdr:grpSpPr>
            <a:xfrm>
              <a:off x="9188409" y="6303653"/>
              <a:ext cx="2282000" cy="871600"/>
              <a:chOff x="1940378" y="2171701"/>
              <a:chExt cx="1038225" cy="661307"/>
            </a:xfrm>
          </xdr:grpSpPr>
          <xdr:sp macro="" textlink="">
            <xdr:nvSpPr>
              <xdr:cNvPr id="1040" name="Option Button 16" hidden="1">
                <a:extLst>
                  <a:ext uri="{63B3BB69-23CF-44E3-9099-C40C66FF867C}">
                    <a14:compatExt spid="_x0000_s1040"/>
                  </a:ext>
                </a:extLst>
              </xdr:cNvPr>
              <xdr:cNvSpPr/>
            </xdr:nvSpPr>
            <xdr:spPr>
              <a:xfrm>
                <a:off x="1949904" y="2247900"/>
                <a:ext cx="1009650" cy="19730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Black</a:t>
                </a:r>
              </a:p>
            </xdr:txBody>
          </xdr:sp>
          <xdr:sp macro="" textlink="">
            <xdr:nvSpPr>
              <xdr:cNvPr id="1041" name="Option Button 17" hidden="1">
                <a:extLst>
                  <a:ext uri="{63B3BB69-23CF-44E3-9099-C40C66FF867C}">
                    <a14:compatExt spid="_x0000_s1041"/>
                  </a:ext>
                </a:extLst>
              </xdr:cNvPr>
              <xdr:cNvSpPr/>
            </xdr:nvSpPr>
            <xdr:spPr>
              <a:xfrm>
                <a:off x="1949904" y="2417989"/>
                <a:ext cx="1009650" cy="206829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1042" name="Option Button 18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>
              <a:xfrm>
                <a:off x="1949904" y="2605768"/>
                <a:ext cx="1009650" cy="2081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None</a:t>
                </a:r>
              </a:p>
            </xdr:txBody>
          </xdr:sp>
          <xdr:sp macro="" textlink="">
            <xdr:nvSpPr>
              <xdr:cNvPr id="1043" name="Group Box 19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>
              <a:xfrm>
                <a:off x="1940378" y="2171701"/>
                <a:ext cx="1038225" cy="661307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AU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Wire Color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390525</xdr:colOff>
          <xdr:row>19</xdr:row>
          <xdr:rowOff>104775</xdr:rowOff>
        </xdr:from>
        <xdr:to>
          <xdr:col>25</xdr:col>
          <xdr:colOff>257174</xdr:colOff>
          <xdr:row>26</xdr:row>
          <xdr:rowOff>66675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Pendulum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20</xdr:row>
          <xdr:rowOff>28575</xdr:rowOff>
        </xdr:from>
        <xdr:to>
          <xdr:col>25</xdr:col>
          <xdr:colOff>238124</xdr:colOff>
          <xdr:row>21</xdr:row>
          <xdr:rowOff>95251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Colored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21</xdr:row>
          <xdr:rowOff>98426</xdr:rowOff>
        </xdr:from>
        <xdr:to>
          <xdr:col>25</xdr:col>
          <xdr:colOff>238124</xdr:colOff>
          <xdr:row>23</xdr:row>
          <xdr:rowOff>22225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Grey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23</xdr:row>
          <xdr:rowOff>25400</xdr:rowOff>
        </xdr:from>
        <xdr:to>
          <xdr:col>25</xdr:col>
          <xdr:colOff>238124</xdr:colOff>
          <xdr:row>24</xdr:row>
          <xdr:rowOff>92075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Zebra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2</xdr:row>
      <xdr:rowOff>86591</xdr:rowOff>
    </xdr:from>
    <xdr:to>
      <xdr:col>36</xdr:col>
      <xdr:colOff>398318</xdr:colOff>
      <xdr:row>82</xdr:row>
      <xdr:rowOff>48785</xdr:rowOff>
    </xdr:to>
    <xdr:grpSp>
      <xdr:nvGrpSpPr>
        <xdr:cNvPr id="7" name="Group 6"/>
        <xdr:cNvGrpSpPr/>
      </xdr:nvGrpSpPr>
      <xdr:grpSpPr>
        <a:xfrm>
          <a:off x="519545" y="519546"/>
          <a:ext cx="16821728" cy="13499239"/>
          <a:chOff x="2961409" y="467591"/>
          <a:chExt cx="17335500" cy="13193285"/>
        </a:xfrm>
      </xdr:grpSpPr>
      <xdr:graphicFrame macro="">
        <xdr:nvGraphicFramePr>
          <xdr:cNvPr id="6" name="Chart 1"/>
          <xdr:cNvGraphicFramePr/>
        </xdr:nvGraphicFramePr>
        <xdr:xfrm>
          <a:off x="2961409" y="9954898"/>
          <a:ext cx="5900723" cy="37059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8" name="Chart 2"/>
          <xdr:cNvGraphicFramePr>
            <a:graphicFrameLocks/>
          </xdr:cNvGraphicFramePr>
        </xdr:nvGraphicFramePr>
        <xdr:xfrm>
          <a:off x="2961409" y="467591"/>
          <a:ext cx="5900723" cy="92701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0" name="Chart 3"/>
          <xdr:cNvGraphicFramePr>
            <a:graphicFrameLocks/>
          </xdr:cNvGraphicFramePr>
        </xdr:nvGraphicFramePr>
        <xdr:xfrm>
          <a:off x="9074727" y="9954898"/>
          <a:ext cx="11222182" cy="37059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oneCellAnchor>
    <xdr:from>
      <xdr:col>17</xdr:col>
      <xdr:colOff>495300</xdr:colOff>
      <xdr:row>5</xdr:row>
      <xdr:rowOff>8635</xdr:rowOff>
    </xdr:from>
    <xdr:ext cx="2441864" cy="484955"/>
    <xdr:sp macro="[0]!Start_Stop" textlink="">
      <xdr:nvSpPr>
        <xdr:cNvPr id="22" name="Rounded Rectangle 21"/>
        <xdr:cNvSpPr/>
      </xdr:nvSpPr>
      <xdr:spPr>
        <a:xfrm>
          <a:off x="9899073" y="1446044"/>
          <a:ext cx="2441864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Start/Stop</a:t>
          </a:r>
        </a:p>
      </xdr:txBody>
    </xdr:sp>
    <xdr:clientData/>
  </xdr:oneCellAnchor>
  <xdr:oneCellAnchor>
    <xdr:from>
      <xdr:col>17</xdr:col>
      <xdr:colOff>502227</xdr:colOff>
      <xdr:row>2</xdr:row>
      <xdr:rowOff>0</xdr:rowOff>
    </xdr:from>
    <xdr:ext cx="10462672" cy="751424"/>
    <xdr:sp macro="" textlink="">
      <xdr:nvSpPr>
        <xdr:cNvPr id="8" name="Rectangle 7"/>
        <xdr:cNvSpPr/>
      </xdr:nvSpPr>
      <xdr:spPr>
        <a:xfrm>
          <a:off x="9906000" y="381000"/>
          <a:ext cx="10462672" cy="7514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r>
            <a:rPr lang="en-AU" sz="4800" b="1">
              <a:solidFill>
                <a:srgbClr val="0000FF"/>
              </a:solidFill>
            </a:rPr>
            <a:t>Dynamically Defined Dancing Pendulums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24</xdr:row>
          <xdr:rowOff>95250</xdr:rowOff>
        </xdr:from>
        <xdr:to>
          <xdr:col>25</xdr:col>
          <xdr:colOff>238124</xdr:colOff>
          <xdr:row>26</xdr:row>
          <xdr:rowOff>19051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Blend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0.75988</cdr:x>
      <cdr:y>0.87358</cdr:y>
    </cdr:from>
    <cdr:to>
      <cdr:x>0.98826</cdr:x>
      <cdr:y>0.97556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4483825" y="3237466"/>
          <a:ext cx="1347625" cy="37793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 b="1"/>
            <a:t>End View</a:t>
          </a:r>
          <a:endParaRPr lang="en-US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0.7509</cdr:x>
      <cdr:y>0.01031</cdr:y>
    </cdr:from>
    <cdr:to>
      <cdr:x>0.97928</cdr:x>
      <cdr:y>0.05486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4430862" y="100566"/>
          <a:ext cx="1347626" cy="43461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 b="1"/>
            <a:t>Top View</a:t>
          </a:r>
          <a:endParaRPr lang="en-US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0.8225</cdr:x>
      <cdr:y>0.88403</cdr:y>
    </cdr:from>
    <cdr:to>
      <cdr:x>0.99147</cdr:x>
      <cdr:y>0.97761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8988137" y="3276193"/>
          <a:ext cx="1846422" cy="3468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sz="2000" b="1"/>
            <a:t>Side View</a:t>
          </a:r>
          <a:endParaRPr lang="en-US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1.bin"/><Relationship Id="rId16" Type="http://schemas.openxmlformats.org/officeDocument/2006/relationships/comments" Target="../comments1.xml"/><Relationship Id="rId1" Type="http://schemas.openxmlformats.org/officeDocument/2006/relationships/hyperlink" Target="http://newtonexcelbach.wordpress.com/2011/05/30/dynamically-defined-dancing-pendulums/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5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557"/>
  <sheetViews>
    <sheetView showGridLines="0" tabSelected="1" topLeftCell="E1" zoomScale="33" zoomScaleNormal="33" workbookViewId="0">
      <selection activeCell="AH8" sqref="AH8"/>
    </sheetView>
  </sheetViews>
  <sheetFormatPr defaultRowHeight="11.25" x14ac:dyDescent="0.2"/>
  <cols>
    <col min="1" max="1" width="10.33203125" hidden="1" customWidth="1"/>
    <col min="2" max="2" width="9" hidden="1" customWidth="1"/>
    <col min="3" max="3" width="13.5" hidden="1" customWidth="1"/>
    <col min="4" max="4" width="0" hidden="1" customWidth="1"/>
    <col min="16" max="16" width="9.33203125" customWidth="1"/>
    <col min="22" max="22" width="14.5" customWidth="1"/>
    <col min="43" max="43" width="165.6640625" customWidth="1"/>
  </cols>
  <sheetData>
    <row r="1" spans="1:49" ht="11.25" customHeight="1" x14ac:dyDescent="0.25">
      <c r="A1" s="9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3.25" x14ac:dyDescent="0.35">
      <c r="A2" s="12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x14ac:dyDescent="0.2">
      <c r="A3" s="1" t="s">
        <v>17</v>
      </c>
      <c r="B3" s="1">
        <v>0.02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61.5" x14ac:dyDescent="0.9">
      <c r="A4" s="1" t="s">
        <v>18</v>
      </c>
      <c r="B4" s="1">
        <v>15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6"/>
      <c r="R4" s="1"/>
      <c r="S4" s="1"/>
      <c r="T4" s="17"/>
      <c r="U4" s="17"/>
      <c r="V4" s="17"/>
      <c r="W4" s="1"/>
      <c r="X4" s="1"/>
      <c r="Y4" s="1"/>
      <c r="Z4" s="1"/>
      <c r="AA4" s="17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x14ac:dyDescent="0.2">
      <c r="A5" s="1" t="s">
        <v>1</v>
      </c>
      <c r="B5" s="1">
        <v>981.42</v>
      </c>
      <c r="C5" s="1"/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8.5" x14ac:dyDescent="0.45">
      <c r="A7" s="1" t="s">
        <v>19</v>
      </c>
      <c r="B7" s="1" t="b">
        <v>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9" t="s">
        <v>12</v>
      </c>
      <c r="AH7" s="18" t="s">
        <v>13</v>
      </c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8.5" x14ac:dyDescent="0.45">
      <c r="A8" s="10" t="s">
        <v>9</v>
      </c>
      <c r="B8" s="11">
        <v>1</v>
      </c>
      <c r="C8" s="1"/>
      <c r="D8" s="1"/>
      <c r="E8" s="1"/>
      <c r="F8" s="1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9" t="s">
        <v>7</v>
      </c>
      <c r="AH8" s="25" t="s">
        <v>11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x14ac:dyDescent="0.2">
      <c r="A9" s="10" t="s">
        <v>10</v>
      </c>
      <c r="B9" s="11">
        <v>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6.25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24" t="s">
        <v>6</v>
      </c>
      <c r="V11" s="20">
        <v>0.02</v>
      </c>
      <c r="W11" s="21" t="s">
        <v>8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8.5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24" t="s">
        <v>3</v>
      </c>
      <c r="V12" s="22">
        <v>30</v>
      </c>
      <c r="W12" s="21" t="s">
        <v>2</v>
      </c>
      <c r="X12" s="1"/>
      <c r="Y12" s="1"/>
      <c r="Z12" s="1"/>
      <c r="AA12" s="1"/>
      <c r="AB12" s="1"/>
      <c r="AC12" s="1"/>
      <c r="AD12" s="1"/>
      <c r="AE12" s="1"/>
      <c r="AF12" s="19"/>
      <c r="AG12" s="1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30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24" t="s">
        <v>1</v>
      </c>
      <c r="V13" s="22">
        <f>B5</f>
        <v>981.42</v>
      </c>
      <c r="W13" s="21" t="s">
        <v>16</v>
      </c>
      <c r="X13" s="1"/>
      <c r="Y13" s="1"/>
      <c r="Z13" s="1"/>
      <c r="AA13" s="1"/>
      <c r="AB13" s="1"/>
      <c r="AC13" s="1"/>
      <c r="AD13" s="1"/>
      <c r="AE13" s="1"/>
      <c r="AF13" s="19"/>
      <c r="AG13" s="1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6.25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24" t="s">
        <v>14</v>
      </c>
      <c r="V14" s="23">
        <v>15</v>
      </c>
      <c r="W14" s="21" t="s">
        <v>15</v>
      </c>
      <c r="X14" s="1"/>
      <c r="Y14" s="1"/>
      <c r="Z14" s="1"/>
      <c r="AA14" s="1"/>
      <c r="AB14" s="1"/>
      <c r="AC14" s="1"/>
      <c r="AD14" s="1"/>
      <c r="AE14" s="1"/>
      <c r="AF14" s="2"/>
      <c r="AG14" s="7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x14ac:dyDescent="0.2">
      <c r="A18" s="5" t="s">
        <v>0</v>
      </c>
      <c r="B18" s="6" t="s">
        <v>4</v>
      </c>
      <c r="C18" s="5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x14ac:dyDescent="0.2">
      <c r="A19" s="3">
        <v>1</v>
      </c>
      <c r="B19" s="4">
        <v>60</v>
      </c>
      <c r="C19" s="13">
        <v>31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x14ac:dyDescent="0.2">
      <c r="A20" s="3">
        <v>2</v>
      </c>
      <c r="B20" s="4">
        <f>$B$19*($C$19/C20)^2</f>
        <v>52.947658402203864</v>
      </c>
      <c r="C20" s="14">
        <v>33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x14ac:dyDescent="0.2">
      <c r="A21" s="3">
        <v>3</v>
      </c>
      <c r="B21" s="4">
        <f>$B$19*($C$19/C21)^2</f>
        <v>47.069387755102042</v>
      </c>
      <c r="C21" s="3">
        <f>+C20+($C$20-$C$19)</f>
        <v>35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x14ac:dyDescent="0.2">
      <c r="A22" s="3">
        <v>4</v>
      </c>
      <c r="B22" s="4">
        <f>$B$19*($C$19/C22)^2</f>
        <v>42.118334550766981</v>
      </c>
      <c r="C22" s="3">
        <f>+C21+($C$20-$C$19)</f>
        <v>37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x14ac:dyDescent="0.2">
      <c r="A23" s="3">
        <v>5</v>
      </c>
      <c r="B23" s="4">
        <f>$B$19*($C$19/C23)^2</f>
        <v>37.909270216962518</v>
      </c>
      <c r="C23" s="3">
        <f>+C22+($C$20-$C$19)</f>
        <v>39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x14ac:dyDescent="0.2">
      <c r="A24" s="3">
        <v>6</v>
      </c>
      <c r="B24" s="4">
        <f>$B$19*($C$19/C24)^2</f>
        <v>34.301011302795956</v>
      </c>
      <c r="C24" s="3">
        <f>+C23+($C$20-$C$19)</f>
        <v>41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x14ac:dyDescent="0.2">
      <c r="A25" s="3">
        <v>7</v>
      </c>
      <c r="B25" s="4">
        <f>$B$19*($C$19/C25)^2</f>
        <v>31.184424012979981</v>
      </c>
      <c r="C25" s="3">
        <f>+C24+($C$20-$C$19)</f>
        <v>43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x14ac:dyDescent="0.2">
      <c r="A26" s="3">
        <v>8</v>
      </c>
      <c r="B26" s="4">
        <f>$B$19*($C$19/C26)^2</f>
        <v>28.474074074074071</v>
      </c>
      <c r="C26" s="3">
        <f>+C25+($C$20-$C$19)</f>
        <v>45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x14ac:dyDescent="0.2">
      <c r="A27" s="3">
        <v>9</v>
      </c>
      <c r="B27" s="4">
        <f>$B$19*($C$19/C27)^2</f>
        <v>26.102308736985059</v>
      </c>
      <c r="C27" s="3">
        <f>+C26+($C$20-$C$19)</f>
        <v>47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11.25" customHeight="1" x14ac:dyDescent="0.4">
      <c r="A28" s="3">
        <v>10</v>
      </c>
      <c r="B28" s="4">
        <f>$B$19*($C$19/C28)^2</f>
        <v>24.014993752603083</v>
      </c>
      <c r="C28" s="3">
        <f>+C27+($C$20-$C$19)</f>
        <v>49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x14ac:dyDescent="0.2">
      <c r="A29" s="3">
        <v>11</v>
      </c>
      <c r="B29" s="4">
        <f>$B$19*($C$19/C29)^2</f>
        <v>22.168396770472889</v>
      </c>
      <c r="C29" s="3">
        <f>+C28+($C$20-$C$19)</f>
        <v>51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x14ac:dyDescent="0.2">
      <c r="A30" s="3">
        <v>12</v>
      </c>
      <c r="B30" s="4">
        <f>$B$19*($C$19/C30)^2</f>
        <v>20.526877892488429</v>
      </c>
      <c r="C30" s="3">
        <f>+C29+($C$20-$C$19)</f>
        <v>53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x14ac:dyDescent="0.2">
      <c r="A31" s="3">
        <v>13</v>
      </c>
      <c r="B31" s="4">
        <f>$B$19*($C$19/C31)^2</f>
        <v>19.061157024793388</v>
      </c>
      <c r="C31" s="3">
        <f>+C30+($C$20-$C$19)</f>
        <v>55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x14ac:dyDescent="0.2">
      <c r="A32" s="3">
        <v>14</v>
      </c>
      <c r="B32" s="4">
        <f>$B$19*($C$19/C32)^2</f>
        <v>17.746999076638968</v>
      </c>
      <c r="C32" s="3">
        <f>+C31+($C$20-$C$19)</f>
        <v>57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x14ac:dyDescent="0.2">
      <c r="A33" s="3">
        <v>15</v>
      </c>
      <c r="B33" s="4">
        <f>$B$19*($C$19/C33)^2</f>
        <v>16.564205688020685</v>
      </c>
      <c r="C33" s="3">
        <f>+C32+($C$20-$C$19)</f>
        <v>59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x14ac:dyDescent="0.2">
      <c r="A34" s="3">
        <v>16</v>
      </c>
      <c r="B34" s="4">
        <f>$B$19*($C$19/C34)^2</f>
        <v>15.495834453104004</v>
      </c>
      <c r="C34" s="3">
        <f>+C33+($C$20-$C$19)</f>
        <v>61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2.75" x14ac:dyDescent="0.2">
      <c r="A56" s="1"/>
      <c r="B56" s="1"/>
      <c r="C56" s="1"/>
      <c r="D56" s="1"/>
      <c r="E56" s="1"/>
      <c r="F56" s="1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</sheetData>
  <hyperlinks>
    <hyperlink ref="AH8" r:id="rId1" display="Newtonexcelbach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7" r:id="rId5" name="ScrollBar1">
          <controlPr defaultSize="0" autoFill="0" autoLine="0" linkedCell="B5" r:id="rId6">
            <anchor moveWithCells="1">
              <from>
                <xdr:col>27</xdr:col>
                <xdr:colOff>47625</xdr:colOff>
                <xdr:row>22</xdr:row>
                <xdr:rowOff>19050</xdr:rowOff>
              </from>
              <to>
                <xdr:col>33</xdr:col>
                <xdr:colOff>400050</xdr:colOff>
                <xdr:row>24</xdr:row>
                <xdr:rowOff>76200</xdr:rowOff>
              </to>
            </anchor>
          </controlPr>
        </control>
      </mc:Choice>
      <mc:Fallback>
        <control shapeId="1027" r:id="rId5" name="ScrollBar1"/>
      </mc:Fallback>
    </mc:AlternateContent>
    <mc:AlternateContent xmlns:mc="http://schemas.openxmlformats.org/markup-compatibility/2006">
      <mc:Choice Requires="x14">
        <control shapeId="1033" r:id="rId7" name="Group Box 9">
          <controlPr defaultSize="0" autoFill="0" autoPict="0">
            <anchor moveWithCells="1">
              <from>
                <xdr:col>21</xdr:col>
                <xdr:colOff>390525</xdr:colOff>
                <xdr:row>19</xdr:row>
                <xdr:rowOff>104775</xdr:rowOff>
              </from>
              <to>
                <xdr:col>25</xdr:col>
                <xdr:colOff>257175</xdr:colOff>
                <xdr:row>26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8" name="Option Button 16">
          <controlPr defaultSize="0" autoFill="0" autoLine="0" autoPict="0" macro="[0]!SetWires">
            <anchor moveWithCells="1">
              <from>
                <xdr:col>21</xdr:col>
                <xdr:colOff>381000</xdr:colOff>
                <xdr:row>29</xdr:row>
                <xdr:rowOff>114300</xdr:rowOff>
              </from>
              <to>
                <xdr:col>25</xdr:col>
                <xdr:colOff>200025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9" name="Option Button 17">
          <controlPr defaultSize="0" autoFill="0" autoLine="0" autoPict="0" macro="[0]!SetWires">
            <anchor moveWithCells="1">
              <from>
                <xdr:col>21</xdr:col>
                <xdr:colOff>381000</xdr:colOff>
                <xdr:row>31</xdr:row>
                <xdr:rowOff>47625</xdr:rowOff>
              </from>
              <to>
                <xdr:col>25</xdr:col>
                <xdr:colOff>200025</xdr:colOff>
                <xdr:row>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0" name="Option Button 18">
          <controlPr defaultSize="0" autoFill="0" autoLine="0" autoPict="0" macro="[0]!SetWires">
            <anchor moveWithCells="1">
              <from>
                <xdr:col>21</xdr:col>
                <xdr:colOff>381000</xdr:colOff>
                <xdr:row>33</xdr:row>
                <xdr:rowOff>9525</xdr:rowOff>
              </from>
              <to>
                <xdr:col>25</xdr:col>
                <xdr:colOff>200025</xdr:colOff>
                <xdr:row>34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Group Box 19">
          <controlPr defaultSize="0" autoFill="0" autoPict="0">
            <anchor moveWithCells="1">
              <from>
                <xdr:col>21</xdr:col>
                <xdr:colOff>352425</xdr:colOff>
                <xdr:row>29</xdr:row>
                <xdr:rowOff>9525</xdr:rowOff>
              </from>
              <to>
                <xdr:col>25</xdr:col>
                <xdr:colOff>238125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2" name="Option Button 26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20</xdr:row>
                <xdr:rowOff>28575</xdr:rowOff>
              </from>
              <to>
                <xdr:col>25</xdr:col>
                <xdr:colOff>238125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3" name="Option Button 27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21</xdr:row>
                <xdr:rowOff>95250</xdr:rowOff>
              </from>
              <to>
                <xdr:col>25</xdr:col>
                <xdr:colOff>238125</xdr:colOff>
                <xdr:row>23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4" name="Option Button 28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23</xdr:row>
                <xdr:rowOff>28575</xdr:rowOff>
              </from>
              <to>
                <xdr:col>25</xdr:col>
                <xdr:colOff>238125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5" name="Option Button 29">
          <controlPr defaultSize="0" autoFill="0" autoLine="0" autoPict="0" macro="[0]!Set_Pendulum_Colors">
            <anchor moveWithCells="1">
              <from>
                <xdr:col>21</xdr:col>
                <xdr:colOff>457200</xdr:colOff>
                <xdr:row>24</xdr:row>
                <xdr:rowOff>95250</xdr:rowOff>
              </from>
              <to>
                <xdr:col>25</xdr:col>
                <xdr:colOff>238125</xdr:colOff>
                <xdr:row>26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1</vt:lpstr>
      <vt:lpstr>g</vt:lpstr>
      <vt:lpstr>p10Len</vt:lpstr>
      <vt:lpstr>p11Len</vt:lpstr>
      <vt:lpstr>p12Len</vt:lpstr>
      <vt:lpstr>p13Len</vt:lpstr>
      <vt:lpstr>p14Len</vt:lpstr>
      <vt:lpstr>p15Len</vt:lpstr>
      <vt:lpstr>p16Len</vt:lpstr>
      <vt:lpstr>p1Len</vt:lpstr>
      <vt:lpstr>p2Len</vt:lpstr>
      <vt:lpstr>p3Len</vt:lpstr>
      <vt:lpstr>p4Len</vt:lpstr>
      <vt:lpstr>p5Len</vt:lpstr>
      <vt:lpstr>p6Len</vt:lpstr>
      <vt:lpstr>p7Len</vt:lpstr>
      <vt:lpstr>p8Len</vt:lpstr>
      <vt:lpstr>p9Len</vt:lpstr>
      <vt:lpstr>Spacing</vt:lpstr>
      <vt:lpstr>tinc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Huitson</dc:creator>
  <cp:lastModifiedBy>Hui</cp:lastModifiedBy>
  <cp:lastPrinted>2011-06-02T00:46:54Z</cp:lastPrinted>
  <dcterms:created xsi:type="dcterms:W3CDTF">2011-05-31T00:44:18Z</dcterms:created>
  <dcterms:modified xsi:type="dcterms:W3CDTF">2011-07-03T09:34:34Z</dcterms:modified>
</cp:coreProperties>
</file>